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 Estampa Sur" sheetId="1" state="visible" r:id="rId1"/>
    <sheet xmlns:r="http://schemas.openxmlformats.org/officeDocument/2006/relationships" name="Ejemplo vel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11" max="11"/>
    <col width="16" customWidth="1" min="12" max="12"/>
  </cols>
  <sheetData>
    <row r="1">
      <c r="A1" t="inlineStr">
        <is>
          <t>Producto</t>
        </is>
      </c>
      <c r="B1" t="inlineStr">
        <is>
          <t>Producidas</t>
        </is>
      </c>
      <c r="C1" t="inlineStr">
        <is>
          <t>Vendidas</t>
        </is>
      </c>
      <c r="D1" t="inlineStr">
        <is>
          <t>Inventario final</t>
        </is>
      </c>
      <c r="E1" t="inlineStr">
        <is>
          <t>Costo variable</t>
        </is>
      </c>
      <c r="F1" t="inlineStr">
        <is>
          <t>Segundos de estampado</t>
        </is>
      </c>
      <c r="G1" t="inlineStr">
        <is>
          <t>CIF fijo por prenda</t>
        </is>
      </c>
      <c r="H1" t="inlineStr">
        <is>
          <t>Costo por absorción</t>
        </is>
      </c>
      <c r="I1" t="inlineStr">
        <is>
          <t>Precio</t>
        </is>
      </c>
    </row>
    <row r="2">
      <c r="A2" t="inlineStr">
        <is>
          <t>Poleras básicas</t>
        </is>
      </c>
      <c r="B2" s="1" t="n">
        <v>2236</v>
      </c>
      <c r="C2" s="1" t="n">
        <v>2120</v>
      </c>
      <c r="D2" s="1">
        <f>B2-C2</f>
        <v/>
      </c>
      <c r="E2" s="1" t="n">
        <v>2610</v>
      </c>
      <c r="F2" s="1" t="n">
        <v>30</v>
      </c>
      <c r="G2" s="2">
        <f>F2*$L$4</f>
        <v/>
      </c>
      <c r="H2" s="2">
        <f>E2+G2</f>
        <v/>
      </c>
      <c r="I2" s="1" t="n">
        <v>3990</v>
      </c>
      <c r="J2" s="1" t="n"/>
      <c r="K2" t="inlineStr">
        <is>
          <t>CIF fijos del mes</t>
        </is>
      </c>
      <c r="L2" s="1">
        <f>2880000+9840000/96+(14300000-1800000)/60+948000/12+580000</f>
        <v/>
      </c>
    </row>
    <row r="3">
      <c r="A3" t="inlineStr">
        <is>
          <t>Polerones</t>
        </is>
      </c>
      <c r="B3" s="1" t="n">
        <v>839</v>
      </c>
      <c r="C3" s="1" t="n">
        <v>795</v>
      </c>
      <c r="D3" s="1">
        <f>B3-C3</f>
        <v/>
      </c>
      <c r="E3" s="1" t="n">
        <v>5950</v>
      </c>
      <c r="F3" s="1" t="n">
        <v>90</v>
      </c>
      <c r="G3" s="2">
        <f>F3*$L$4</f>
        <v/>
      </c>
      <c r="H3" s="2">
        <f>E3+G3</f>
        <v/>
      </c>
      <c r="I3" s="1" t="n">
        <v>9890</v>
      </c>
      <c r="J3" s="1" t="n"/>
      <c r="K3" t="inlineStr">
        <is>
          <t>Segundos de estampado del mes</t>
        </is>
      </c>
      <c r="L3" s="1">
        <f>SUMPRODUCT(B2:B6,F2:F6)</f>
        <v/>
      </c>
    </row>
    <row r="4">
      <c r="A4" t="inlineStr">
        <is>
          <t>Poleras estampado doble</t>
        </is>
      </c>
      <c r="B4" s="1" t="n">
        <v>838</v>
      </c>
      <c r="C4" s="1" t="n">
        <v>795</v>
      </c>
      <c r="D4" s="1">
        <f>B4-C4</f>
        <v/>
      </c>
      <c r="E4" s="1" t="n">
        <v>4020</v>
      </c>
      <c r="F4" s="1" t="n">
        <v>110</v>
      </c>
      <c r="G4" s="2">
        <f>F4*$L$4</f>
        <v/>
      </c>
      <c r="H4" s="2">
        <f>E4+G4</f>
        <v/>
      </c>
      <c r="I4" s="1" t="n">
        <v>6290</v>
      </c>
      <c r="J4" s="1" t="n"/>
      <c r="K4" t="inlineStr">
        <is>
          <t>CIF fijo por segundo (unidad 11)</t>
        </is>
      </c>
      <c r="L4" s="2">
        <f>L2/L3</f>
        <v/>
      </c>
    </row>
    <row r="5">
      <c r="A5" t="inlineStr">
        <is>
          <t>Bolsas</t>
        </is>
      </c>
      <c r="B5" s="1" t="n">
        <v>1006</v>
      </c>
      <c r="C5" s="1" t="n">
        <v>954</v>
      </c>
      <c r="D5" s="1">
        <f>B5-C5</f>
        <v/>
      </c>
      <c r="E5" s="1" t="n">
        <v>1530</v>
      </c>
      <c r="F5" s="1" t="n">
        <v>20</v>
      </c>
      <c r="G5" s="2">
        <f>F5*$L$4</f>
        <v/>
      </c>
      <c r="H5" s="2">
        <f>E5+G5</f>
        <v/>
      </c>
      <c r="I5" s="1" t="n">
        <v>2490</v>
      </c>
      <c r="J5" s="1" t="n"/>
      <c r="K5" t="inlineStr">
        <is>
          <t>Gastos de administración</t>
        </is>
      </c>
      <c r="L5" s="1" t="n">
        <v>436000</v>
      </c>
    </row>
    <row r="6">
      <c r="A6" t="inlineStr">
        <is>
          <t>Gorros</t>
        </is>
      </c>
      <c r="B6" s="1" t="n">
        <v>671</v>
      </c>
      <c r="C6" s="1" t="n">
        <v>636</v>
      </c>
      <c r="D6" s="1">
        <f>B6-C6</f>
        <v/>
      </c>
      <c r="E6" s="1" t="n">
        <v>2020</v>
      </c>
      <c r="F6" s="1" t="n">
        <v>30</v>
      </c>
      <c r="G6" s="2">
        <f>F6*$L$4</f>
        <v/>
      </c>
      <c r="H6" s="2">
        <f>E6+G6</f>
        <v/>
      </c>
      <c r="I6" s="1" t="n">
        <v>3190</v>
      </c>
      <c r="J6" s="1" t="n"/>
      <c r="K6" t="inlineStr">
        <is>
          <t>Interés del préstamo</t>
        </is>
      </c>
      <c r="L6" s="1">
        <f>6400000*0.0115</f>
        <v/>
      </c>
    </row>
    <row r="7">
      <c r="A7" t="inlineStr">
        <is>
          <t>Total</t>
        </is>
      </c>
      <c r="B7" s="1">
        <f>SUM(B2:B6)</f>
        <v/>
      </c>
      <c r="C7" s="1">
        <f>SUM(C2:C6)</f>
        <v/>
      </c>
      <c r="D7" s="1">
        <f>SUM(D2:D6)</f>
        <v/>
      </c>
      <c r="E7" s="1" t="n"/>
      <c r="F7" s="1" t="n"/>
      <c r="G7" s="2" t="n"/>
      <c r="H7" s="2" t="n"/>
      <c r="I7" s="1" t="n"/>
      <c r="J7" s="1" t="n"/>
      <c r="L7" s="1" t="n"/>
    </row>
    <row r="8">
      <c r="B8" s="1" t="n"/>
      <c r="C8" s="1" t="n"/>
      <c r="D8" s="1" t="n"/>
      <c r="E8" s="1" t="n"/>
      <c r="F8" s="1" t="n"/>
      <c r="G8" s="2" t="n"/>
      <c r="H8" s="2" t="n"/>
      <c r="I8" s="1" t="n"/>
      <c r="J8" s="1" t="n"/>
      <c r="L8" s="1" t="n"/>
    </row>
    <row r="9">
      <c r="B9" s="1" t="n"/>
      <c r="C9" s="1" t="n"/>
      <c r="D9" s="1" t="n"/>
      <c r="E9" s="1" t="n"/>
      <c r="F9" s="1" t="n"/>
      <c r="G9" s="2" t="n"/>
      <c r="H9" s="2" t="n"/>
      <c r="I9" s="1" t="n"/>
      <c r="J9" s="1" t="n"/>
      <c r="K9" s="3" t="inlineStr">
        <is>
          <t>COSTEO VARIABLE</t>
        </is>
      </c>
      <c r="L9" s="1" t="inlineStr"/>
    </row>
    <row r="10">
      <c r="B10" s="1" t="n"/>
      <c r="C10" s="1" t="n"/>
      <c r="D10" s="1" t="n"/>
      <c r="E10" s="1" t="n"/>
      <c r="F10" s="1" t="n"/>
      <c r="G10" s="2" t="n"/>
      <c r="H10" s="2" t="n"/>
      <c r="I10" s="1" t="n"/>
      <c r="J10" s="1" t="n"/>
      <c r="K10" t="inlineStr">
        <is>
          <t>Ventas</t>
        </is>
      </c>
      <c r="L10" s="1">
        <f>SUMPRODUCT(C2:C6,I2:I6)</f>
        <v/>
      </c>
    </row>
    <row r="11">
      <c r="B11" s="1" t="n"/>
      <c r="C11" s="1" t="n"/>
      <c r="D11" s="1" t="n"/>
      <c r="E11" s="1" t="n"/>
      <c r="F11" s="1" t="n"/>
      <c r="G11" s="2" t="n"/>
      <c r="H11" s="2" t="n"/>
      <c r="I11" s="1" t="n"/>
      <c r="J11" s="1" t="n"/>
      <c r="K11" t="inlineStr">
        <is>
          <t>Costo variable de lo vendido</t>
        </is>
      </c>
      <c r="L11" s="1">
        <f>SUMPRODUCT(C2:C6,E2:E6)</f>
        <v/>
      </c>
    </row>
    <row r="12">
      <c r="B12" s="1" t="n"/>
      <c r="C12" s="1" t="n"/>
      <c r="D12" s="1" t="n"/>
      <c r="E12" s="1" t="n"/>
      <c r="F12" s="1" t="n"/>
      <c r="G12" s="2" t="n"/>
      <c r="H12" s="2" t="n"/>
      <c r="I12" s="1" t="n"/>
      <c r="J12" s="1" t="n"/>
      <c r="K12" t="inlineStr">
        <is>
          <t>Margen de contribución</t>
        </is>
      </c>
      <c r="L12" s="1">
        <f>L10-L11</f>
        <v/>
      </c>
    </row>
    <row r="13">
      <c r="B13" s="1" t="n"/>
      <c r="C13" s="1" t="n"/>
      <c r="D13" s="1" t="n"/>
      <c r="E13" s="1" t="n"/>
      <c r="F13" s="1" t="n"/>
      <c r="G13" s="2" t="n"/>
      <c r="H13" s="2" t="n"/>
      <c r="I13" s="1" t="n"/>
      <c r="J13" s="1" t="n"/>
      <c r="K13" t="inlineStr">
        <is>
          <t>CIF fijos (gasto del período)</t>
        </is>
      </c>
      <c r="L13" s="1">
        <f>L2</f>
        <v/>
      </c>
    </row>
    <row r="14">
      <c r="B14" s="1" t="n"/>
      <c r="C14" s="1" t="n"/>
      <c r="D14" s="1" t="n"/>
      <c r="E14" s="1" t="n"/>
      <c r="F14" s="1" t="n"/>
      <c r="G14" s="2" t="n"/>
      <c r="H14" s="2" t="n"/>
      <c r="I14" s="1" t="n"/>
      <c r="J14" s="1" t="n"/>
      <c r="K14" t="inlineStr">
        <is>
          <t>Gastos de administración</t>
        </is>
      </c>
      <c r="L14" s="1">
        <f>L5</f>
        <v/>
      </c>
    </row>
    <row r="15">
      <c r="B15" s="1" t="n"/>
      <c r="C15" s="1" t="n"/>
      <c r="D15" s="1" t="n"/>
      <c r="E15" s="1" t="n"/>
      <c r="F15" s="1" t="n"/>
      <c r="G15" s="2" t="n"/>
      <c r="H15" s="2" t="n"/>
      <c r="I15" s="1" t="n"/>
      <c r="J15" s="1" t="n"/>
      <c r="K15" s="3" t="inlineStr">
        <is>
          <t>Resultado operacional</t>
        </is>
      </c>
      <c r="L15" s="1">
        <f>L12-L13-L14</f>
        <v/>
      </c>
    </row>
    <row r="16">
      <c r="B16" s="1" t="n"/>
      <c r="C16" s="1" t="n"/>
      <c r="D16" s="1" t="n"/>
      <c r="E16" s="1" t="n"/>
      <c r="F16" s="1" t="n"/>
      <c r="G16" s="2" t="n"/>
      <c r="H16" s="2" t="n"/>
      <c r="I16" s="1" t="n"/>
      <c r="J16" s="1" t="n"/>
      <c r="K16" t="inlineStr">
        <is>
          <t>Interés</t>
        </is>
      </c>
      <c r="L16" s="1">
        <f>L6</f>
        <v/>
      </c>
    </row>
    <row r="17">
      <c r="B17" s="1" t="n"/>
      <c r="C17" s="1" t="n"/>
      <c r="D17" s="1" t="n"/>
      <c r="E17" s="1" t="n"/>
      <c r="F17" s="1" t="n"/>
      <c r="G17" s="2" t="n"/>
      <c r="H17" s="2" t="n"/>
      <c r="I17" s="1" t="n"/>
      <c r="J17" s="1" t="n"/>
      <c r="K17" t="inlineStr">
        <is>
          <t>Resultado antes de impuesto</t>
        </is>
      </c>
      <c r="L17" s="1">
        <f>L15-L16</f>
        <v/>
      </c>
    </row>
    <row r="18">
      <c r="B18" s="1" t="n"/>
      <c r="C18" s="1" t="n"/>
      <c r="D18" s="1" t="n"/>
      <c r="E18" s="1" t="n"/>
      <c r="F18" s="1" t="n"/>
      <c r="G18" s="2" t="n"/>
      <c r="H18" s="2" t="n"/>
      <c r="I18" s="1" t="n"/>
      <c r="J18" s="1" t="n"/>
      <c r="L18" s="1" t="n"/>
    </row>
    <row r="19">
      <c r="B19" s="1" t="n"/>
      <c r="C19" s="1" t="n"/>
      <c r="D19" s="1" t="n"/>
      <c r="E19" s="1" t="n"/>
      <c r="F19" s="1" t="n"/>
      <c r="G19" s="2" t="n"/>
      <c r="H19" s="2" t="n"/>
      <c r="I19" s="1" t="n"/>
      <c r="J19" s="1" t="n"/>
      <c r="K19" s="3" t="inlineStr">
        <is>
          <t>COSTEO POR ABSORCIÓN</t>
        </is>
      </c>
      <c r="L19" s="1" t="inlineStr"/>
    </row>
    <row r="20">
      <c r="B20" s="1" t="n"/>
      <c r="C20" s="1" t="n"/>
      <c r="D20" s="1" t="n"/>
      <c r="E20" s="1" t="n"/>
      <c r="F20" s="1" t="n"/>
      <c r="G20" s="2" t="n"/>
      <c r="H20" s="2" t="n"/>
      <c r="I20" s="1" t="n"/>
      <c r="J20" s="1" t="n"/>
      <c r="K20" t="inlineStr">
        <is>
          <t>Ventas</t>
        </is>
      </c>
      <c r="L20" s="1">
        <f>SUMPRODUCT(C2:C6,I2:I6)</f>
        <v/>
      </c>
    </row>
    <row r="21">
      <c r="B21" s="1" t="n"/>
      <c r="C21" s="1" t="n"/>
      <c r="D21" s="1" t="n"/>
      <c r="E21" s="1" t="n"/>
      <c r="F21" s="1" t="n"/>
      <c r="G21" s="2" t="n"/>
      <c r="H21" s="2" t="n"/>
      <c r="I21" s="1" t="n"/>
      <c r="J21" s="1" t="n"/>
      <c r="K21" t="inlineStr">
        <is>
          <t>Costo de ventas</t>
        </is>
      </c>
      <c r="L21" s="1">
        <f>SUMPRODUCT(C2:C6,H2:H6)</f>
        <v/>
      </c>
    </row>
    <row r="22">
      <c r="B22" s="1" t="n"/>
      <c r="C22" s="1" t="n"/>
      <c r="D22" s="1" t="n"/>
      <c r="E22" s="1" t="n"/>
      <c r="F22" s="1" t="n"/>
      <c r="G22" s="2" t="n"/>
      <c r="H22" s="2" t="n"/>
      <c r="I22" s="1" t="n"/>
      <c r="J22" s="1" t="n"/>
      <c r="K22" t="inlineStr">
        <is>
          <t>Margen bruto</t>
        </is>
      </c>
      <c r="L22" s="1">
        <f>L20-L21</f>
        <v/>
      </c>
    </row>
    <row r="23">
      <c r="B23" s="1" t="n"/>
      <c r="C23" s="1" t="n"/>
      <c r="D23" s="1" t="n"/>
      <c r="E23" s="1" t="n"/>
      <c r="F23" s="1" t="n"/>
      <c r="G23" s="2" t="n"/>
      <c r="H23" s="2" t="n"/>
      <c r="I23" s="1" t="n"/>
      <c r="J23" s="1" t="n"/>
      <c r="K23" t="inlineStr">
        <is>
          <t>Gastos de administración</t>
        </is>
      </c>
      <c r="L23" s="1">
        <f>L5</f>
        <v/>
      </c>
    </row>
    <row r="24">
      <c r="B24" s="1" t="n"/>
      <c r="C24" s="1" t="n"/>
      <c r="D24" s="1" t="n"/>
      <c r="E24" s="1" t="n"/>
      <c r="F24" s="1" t="n"/>
      <c r="G24" s="2" t="n"/>
      <c r="H24" s="2" t="n"/>
      <c r="I24" s="1" t="n"/>
      <c r="J24" s="1" t="n"/>
      <c r="K24" s="3" t="inlineStr">
        <is>
          <t>Resultado operacional</t>
        </is>
      </c>
      <c r="L24" s="1">
        <f>L22-L23</f>
        <v/>
      </c>
    </row>
    <row r="25">
      <c r="B25" s="1" t="n"/>
      <c r="C25" s="1" t="n"/>
      <c r="D25" s="1" t="n"/>
      <c r="E25" s="1" t="n"/>
      <c r="F25" s="1" t="n"/>
      <c r="G25" s="2" t="n"/>
      <c r="H25" s="2" t="n"/>
      <c r="I25" s="1" t="n"/>
      <c r="J25" s="1" t="n"/>
      <c r="K25" t="inlineStr">
        <is>
          <t>Interés</t>
        </is>
      </c>
      <c r="L25" s="1">
        <f>L6</f>
        <v/>
      </c>
    </row>
    <row r="26">
      <c r="B26" s="1" t="n"/>
      <c r="C26" s="1" t="n"/>
      <c r="D26" s="1" t="n"/>
      <c r="E26" s="1" t="n"/>
      <c r="F26" s="1" t="n"/>
      <c r="G26" s="2" t="n"/>
      <c r="H26" s="2" t="n"/>
      <c r="I26" s="1" t="n"/>
      <c r="J26" s="1" t="n"/>
      <c r="K26" t="inlineStr">
        <is>
          <t>Resultado antes de impuesto</t>
        </is>
      </c>
      <c r="L26" s="1">
        <f>L24-L25</f>
        <v/>
      </c>
    </row>
    <row r="27">
      <c r="B27" s="1" t="n"/>
      <c r="C27" s="1" t="n"/>
      <c r="D27" s="1" t="n"/>
      <c r="E27" s="1" t="n"/>
      <c r="F27" s="1" t="n"/>
      <c r="G27" s="2" t="n"/>
      <c r="H27" s="2" t="n"/>
      <c r="I27" s="1" t="n"/>
      <c r="J27" s="1" t="n"/>
      <c r="L27" s="1" t="n"/>
    </row>
    <row r="28">
      <c r="B28" s="1" t="n"/>
      <c r="C28" s="1" t="n"/>
      <c r="D28" s="1" t="n"/>
      <c r="E28" s="1" t="n"/>
      <c r="F28" s="1" t="n"/>
      <c r="G28" s="2" t="n"/>
      <c r="H28" s="2" t="n"/>
      <c r="I28" s="1" t="n"/>
      <c r="J28" s="1" t="n"/>
      <c r="K28" s="3" t="inlineStr">
        <is>
          <t>Diferencia (absorción − variable)</t>
        </is>
      </c>
      <c r="L28" s="1">
        <f>L24-L15</f>
        <v/>
      </c>
    </row>
    <row r="29">
      <c r="B29" s="1" t="n"/>
      <c r="C29" s="1" t="n"/>
      <c r="D29" s="1" t="n"/>
      <c r="E29" s="1" t="n"/>
      <c r="F29" s="1" t="n"/>
      <c r="G29" s="2" t="n"/>
      <c r="H29" s="2" t="n"/>
      <c r="I29" s="1" t="n"/>
      <c r="J29" s="1" t="n"/>
      <c r="K29" t="inlineStr">
        <is>
          <t>CIF fijo en el inventario final</t>
        </is>
      </c>
      <c r="L29" s="1">
        <f>SUMPRODUCT(D2:D6,G2:G6)</f>
        <v/>
      </c>
    </row>
    <row r="30">
      <c r="B30" s="1" t="n"/>
      <c r="C30" s="1" t="n"/>
      <c r="D30" s="1" t="n"/>
      <c r="E30" s="1" t="n"/>
      <c r="F30" s="1" t="n"/>
      <c r="G30" s="2" t="n"/>
      <c r="H30" s="2" t="n"/>
      <c r="I30" s="1" t="n"/>
      <c r="J30" s="1" t="n"/>
      <c r="K30" t="inlineStr">
        <is>
          <t>Inventario final a costo variable</t>
        </is>
      </c>
      <c r="L30" s="1">
        <f>SUMPRODUCT(D2:D6,E2:E6)</f>
        <v/>
      </c>
    </row>
    <row r="31">
      <c r="B31" s="1" t="n"/>
      <c r="C31" s="1" t="n"/>
      <c r="D31" s="1" t="n"/>
      <c r="E31" s="1" t="n"/>
      <c r="F31" s="1" t="n"/>
      <c r="G31" s="2" t="n"/>
      <c r="H31" s="2" t="n"/>
      <c r="I31" s="1" t="n"/>
      <c r="J31" s="1" t="n"/>
      <c r="K31" t="inlineStr">
        <is>
          <t>Inventario final por absorción</t>
        </is>
      </c>
      <c r="L31" s="1">
        <f>SUMPRODUCT(D2:D6,H2:H6)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4" max="4"/>
  </cols>
  <sheetData>
    <row r="1">
      <c r="A1" t="inlineStr">
        <is>
          <t>Dato</t>
        </is>
      </c>
      <c r="B1" t="inlineStr">
        <is>
          <t>Valor</t>
        </is>
      </c>
      <c r="D1" t="inlineStr">
        <is>
          <t>Partida</t>
        </is>
      </c>
      <c r="E1" t="inlineStr">
        <is>
          <t>Mes 1</t>
        </is>
      </c>
      <c r="F1" t="inlineStr">
        <is>
          <t>Mes 2</t>
        </is>
      </c>
      <c r="G1" t="inlineStr">
        <is>
          <t>Producción = ventas</t>
        </is>
      </c>
    </row>
    <row r="2">
      <c r="A2" t="inlineStr">
        <is>
          <t>Precio</t>
        </is>
      </c>
      <c r="B2" t="n">
        <v>6500</v>
      </c>
      <c r="D2" t="inlineStr">
        <is>
          <t>Producidas</t>
        </is>
      </c>
      <c r="E2" s="1" t="n">
        <v>4400</v>
      </c>
      <c r="F2" s="1" t="n">
        <v>3600</v>
      </c>
      <c r="G2" s="1" t="n">
        <v>4000</v>
      </c>
    </row>
    <row r="3">
      <c r="A3" t="inlineStr">
        <is>
          <t>MPD por vela</t>
        </is>
      </c>
      <c r="B3" t="n">
        <v>1450</v>
      </c>
      <c r="D3" t="inlineStr">
        <is>
          <t>Vendidas</t>
        </is>
      </c>
      <c r="E3" s="1" t="n">
        <v>4000</v>
      </c>
      <c r="F3" s="1" t="n">
        <v>4000</v>
      </c>
      <c r="G3" s="1" t="n">
        <v>4000</v>
      </c>
    </row>
    <row r="4">
      <c r="A4" t="inlineStr">
        <is>
          <t>MOD por vela</t>
        </is>
      </c>
      <c r="B4" t="n">
        <v>620</v>
      </c>
      <c r="D4" t="inlineStr">
        <is>
          <t>Inventario inicial (unidades)</t>
        </is>
      </c>
      <c r="E4" s="1" t="n">
        <v>0</v>
      </c>
      <c r="F4" s="1">
        <f>E10</f>
        <v/>
      </c>
      <c r="G4" s="1" t="n">
        <v>0</v>
      </c>
    </row>
    <row r="5">
      <c r="A5" t="inlineStr">
        <is>
          <t>CIF variable por vela</t>
        </is>
      </c>
      <c r="B5" t="n">
        <v>280</v>
      </c>
      <c r="D5" t="inlineStr">
        <is>
          <t>Costo variable unitario del inventario inicial</t>
        </is>
      </c>
      <c r="E5" s="2" t="n">
        <v>0</v>
      </c>
      <c r="F5" s="2">
        <f>E7</f>
        <v/>
      </c>
      <c r="G5" s="2" t="n">
        <v>0</v>
      </c>
    </row>
    <row r="6">
      <c r="A6" t="inlineStr">
        <is>
          <t>CIF fijo del mes</t>
        </is>
      </c>
      <c r="B6" t="n">
        <v>2640000</v>
      </c>
      <c r="D6" t="inlineStr">
        <is>
          <t>Costo por absorción unitario del inventario inicial</t>
        </is>
      </c>
      <c r="E6" s="2" t="n">
        <v>0</v>
      </c>
      <c r="F6" s="2">
        <f>E9</f>
        <v/>
      </c>
      <c r="G6" s="2" t="n">
        <v>0</v>
      </c>
    </row>
    <row r="7">
      <c r="A7" t="inlineStr">
        <is>
          <t>GAV variable por vela vendida</t>
        </is>
      </c>
      <c r="B7" t="n">
        <v>190</v>
      </c>
      <c r="D7" t="inlineStr">
        <is>
          <t>Costo variable unitario del mes</t>
        </is>
      </c>
      <c r="E7" s="2">
        <f>$B$3+$B$4+$B$5</f>
        <v/>
      </c>
      <c r="F7" s="2">
        <f>$B$3+$B$4+$B$5</f>
        <v/>
      </c>
      <c r="G7" s="2">
        <f>$B$3+$B$4+$B$5</f>
        <v/>
      </c>
    </row>
    <row r="8">
      <c r="A8" t="inlineStr">
        <is>
          <t>GAV fijo del mes</t>
        </is>
      </c>
      <c r="B8" t="n">
        <v>1150000</v>
      </c>
      <c r="D8" t="inlineStr">
        <is>
          <t>CIF fijo por unidad producida</t>
        </is>
      </c>
      <c r="E8" s="2">
        <f>$B$6/E2</f>
        <v/>
      </c>
      <c r="F8" s="2">
        <f>$B$6/F2</f>
        <v/>
      </c>
      <c r="G8" s="2">
        <f>$B$6/G2</f>
        <v/>
      </c>
    </row>
    <row r="9">
      <c r="D9" t="inlineStr">
        <is>
          <t>Costo por absorción unitario del mes</t>
        </is>
      </c>
      <c r="E9" s="2">
        <f>E7+E8</f>
        <v/>
      </c>
      <c r="F9" s="2">
        <f>F7+F8</f>
        <v/>
      </c>
      <c r="G9" s="2">
        <f>G7+G8</f>
        <v/>
      </c>
    </row>
    <row r="10">
      <c r="D10" t="inlineStr">
        <is>
          <t>Inventario final (unidades)</t>
        </is>
      </c>
      <c r="E10" s="1">
        <f>E4+E2-E3</f>
        <v/>
      </c>
      <c r="F10" s="1">
        <f>F4+F2-F3</f>
        <v/>
      </c>
      <c r="G10" s="1">
        <f>G4+G2-G3</f>
        <v/>
      </c>
    </row>
    <row r="11">
      <c r="D11" t="inlineStr">
        <is>
          <t>Ventas</t>
        </is>
      </c>
      <c r="E11" s="1">
        <f>E3*$B$2</f>
        <v/>
      </c>
      <c r="F11" s="1">
        <f>F3*$B$2</f>
        <v/>
      </c>
      <c r="G11" s="1">
        <f>G3*$B$2</f>
        <v/>
      </c>
    </row>
    <row r="12">
      <c r="D12" t="inlineStr">
        <is>
          <t>Costo variable de lo vendido (FIFO)</t>
        </is>
      </c>
      <c r="E12" s="1">
        <f>MIN(E3,E4)*E5+(E3-MIN(E3,E4))*E7</f>
        <v/>
      </c>
      <c r="F12" s="1">
        <f>MIN(F3,F4)*F5+(F3-MIN(F3,F4))*F7</f>
        <v/>
      </c>
      <c r="G12" s="1">
        <f>MIN(G3,G4)*G5+(G3-MIN(G3,G4))*G7</f>
        <v/>
      </c>
    </row>
    <row r="13">
      <c r="D13" t="inlineStr">
        <is>
          <t>GAV variable</t>
        </is>
      </c>
      <c r="E13" s="1">
        <f>E3*$B$7</f>
        <v/>
      </c>
      <c r="F13" s="1">
        <f>F3*$B$7</f>
        <v/>
      </c>
      <c r="G13" s="1">
        <f>G3*$B$7</f>
        <v/>
      </c>
    </row>
    <row r="14">
      <c r="D14" t="inlineStr">
        <is>
          <t>Margen de contribución</t>
        </is>
      </c>
      <c r="E14" s="1">
        <f>E11-E12-E13</f>
        <v/>
      </c>
      <c r="F14" s="1">
        <f>F11-F12-F13</f>
        <v/>
      </c>
      <c r="G14" s="1">
        <f>G11-G12-G13</f>
        <v/>
      </c>
    </row>
    <row r="15">
      <c r="D15" t="inlineStr">
        <is>
          <t>Resultado operacional variable</t>
        </is>
      </c>
      <c r="E15" s="1">
        <f>E14-$B$6-$B$8</f>
        <v/>
      </c>
      <c r="F15" s="1">
        <f>F14-$B$6-$B$8</f>
        <v/>
      </c>
      <c r="G15" s="1">
        <f>G14-$B$6-$B$8</f>
        <v/>
      </c>
    </row>
    <row r="16">
      <c r="D16" t="inlineStr">
        <is>
          <t>Costo de ventas por absorción (FIFO)</t>
        </is>
      </c>
      <c r="E16" s="1">
        <f>MIN(E3,E4)*E6+(E3-MIN(E3,E4))*E9</f>
        <v/>
      </c>
      <c r="F16" s="1">
        <f>MIN(F3,F4)*F6+(F3-MIN(F3,F4))*F9</f>
        <v/>
      </c>
      <c r="G16" s="1">
        <f>MIN(G3,G4)*G6+(G3-MIN(G3,G4))*G9</f>
        <v/>
      </c>
    </row>
    <row r="17">
      <c r="D17" t="inlineStr">
        <is>
          <t>Margen bruto</t>
        </is>
      </c>
      <c r="E17" s="1">
        <f>E11-E16</f>
        <v/>
      </c>
      <c r="F17" s="1">
        <f>F11-F16</f>
        <v/>
      </c>
      <c r="G17" s="1">
        <f>G11-G16</f>
        <v/>
      </c>
    </row>
    <row r="18">
      <c r="D18" t="inlineStr">
        <is>
          <t>Resultado operacional por absorción</t>
        </is>
      </c>
      <c r="E18" s="1">
        <f>E17-E13-$B$8</f>
        <v/>
      </c>
      <c r="F18" s="1">
        <f>F17-F13-$B$8</f>
        <v/>
      </c>
      <c r="G18" s="1">
        <f>G17-G13-$B$8</f>
        <v/>
      </c>
    </row>
    <row r="19">
      <c r="D19" t="inlineStr">
        <is>
          <t>Diferencia (absorción − variable)</t>
        </is>
      </c>
      <c r="E19" s="1">
        <f>E18-E15</f>
        <v/>
      </c>
      <c r="F19" s="1">
        <f>F18-F15</f>
        <v/>
      </c>
      <c r="G19" s="1">
        <f>G18-G15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2026-10-16T10:52:33Z</dcterms:created>
  <dcterms:modified xmlns:dcterms="http://purl.org/dc/terms/" xmlns:xsi="http://www.w3.org/2001/XMLSchema-instance" xsi:type="dcterms:W3CDTF">2026-10-16T10:52:33Z</dcterms:modified>
</cp:coreProperties>
</file>