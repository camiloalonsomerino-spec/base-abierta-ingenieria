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 Estampa Sur marzo" sheetId="1" state="visible" r:id="rId1"/>
    <sheet xmlns:r="http://schemas.openxmlformats.org/officeDocument/2006/relationships" name="Ejemplo ferretería 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</cols>
  <sheetData>
    <row r="1">
      <c r="A1" s="1" t="inlineStr">
        <is>
          <t>Caso Estampa Sur marzo</t>
        </is>
      </c>
    </row>
    <row r="3">
      <c r="A3" s="1" t="inlineStr">
        <is>
          <t>Estado de resultados por función</t>
        </is>
      </c>
      <c r="B3" s="2" t="n"/>
    </row>
    <row r="4">
      <c r="A4" t="inlineStr">
        <is>
          <t>Ventas</t>
        </is>
      </c>
      <c r="B4" s="2" t="n">
        <v>25726200</v>
      </c>
    </row>
    <row r="5">
      <c r="A5" t="inlineStr">
        <is>
          <t>Costo de ventas a estándar</t>
        </is>
      </c>
      <c r="B5" s="2" t="n">
        <v>-19853906</v>
      </c>
    </row>
    <row r="6">
      <c r="A6" t="inlineStr">
        <is>
          <t>Variación de precio de materias primas</t>
        </is>
      </c>
      <c r="B6" s="2" t="n">
        <v>-78260</v>
      </c>
    </row>
    <row r="7">
      <c r="A7" s="1" t="inlineStr">
        <is>
          <t>Margen bruto</t>
        </is>
      </c>
      <c r="B7" s="2">
        <f>B4+B5+B6</f>
        <v/>
      </c>
    </row>
    <row r="8">
      <c r="A8" t="inlineStr">
        <is>
          <t>Gastos de administración</t>
        </is>
      </c>
      <c r="B8" s="2" t="n">
        <v>-436000</v>
      </c>
    </row>
    <row r="9">
      <c r="A9" s="1" t="inlineStr">
        <is>
          <t>Resultado operacional</t>
        </is>
      </c>
      <c r="B9" s="2">
        <f>B7+B8</f>
        <v/>
      </c>
    </row>
    <row r="10">
      <c r="A10" t="inlineStr">
        <is>
          <t>Gastos financieros</t>
        </is>
      </c>
      <c r="B10" s="2" t="n">
        <v>-73600</v>
      </c>
    </row>
    <row r="11">
      <c r="A11" s="1" t="inlineStr">
        <is>
          <t>Resultado antes de impuesto</t>
        </is>
      </c>
      <c r="B11" s="2">
        <f>B9+B10</f>
        <v/>
      </c>
    </row>
    <row r="12">
      <c r="B12" s="2" t="n"/>
    </row>
    <row r="13">
      <c r="A13" s="1" t="inlineStr">
        <is>
          <t>Balance (estado de situación financiera)</t>
        </is>
      </c>
      <c r="B13" s="2" t="n"/>
    </row>
    <row r="14">
      <c r="A14" s="3" t="inlineStr">
        <is>
          <t>Activo corriente</t>
        </is>
      </c>
      <c r="B14" s="2" t="n"/>
    </row>
    <row r="15">
      <c r="A15" t="inlineStr">
        <is>
          <t>Banco</t>
        </is>
      </c>
      <c r="B15" s="2" t="n">
        <v>12944237</v>
      </c>
    </row>
    <row r="16">
      <c r="A16" t="inlineStr">
        <is>
          <t>Clientes</t>
        </is>
      </c>
      <c r="B16" s="2" t="n">
        <v>12245671</v>
      </c>
    </row>
    <row r="17">
      <c r="A17" t="inlineStr">
        <is>
          <t>Remanente de IVA crédito fiscal</t>
        </is>
      </c>
      <c r="B17" s="2" t="n">
        <v>1224837</v>
      </c>
    </row>
    <row r="18">
      <c r="A18" t="inlineStr">
        <is>
          <t>Poleras lisas básicas</t>
        </is>
      </c>
      <c r="B18" s="2" t="n">
        <v>1860340</v>
      </c>
    </row>
    <row r="19">
      <c r="A19" t="inlineStr">
        <is>
          <t>Tinta</t>
        </is>
      </c>
      <c r="B19" s="2" t="n">
        <v>82500</v>
      </c>
    </row>
    <row r="20">
      <c r="A20" t="inlineStr">
        <is>
          <t>Productos terminados</t>
        </is>
      </c>
      <c r="B20" s="2" t="n">
        <v>1087298</v>
      </c>
    </row>
    <row r="21">
      <c r="A21" t="inlineStr">
        <is>
          <t>Arriendo pagado por anticipado</t>
        </is>
      </c>
      <c r="B21" s="2" t="n">
        <v>1740000</v>
      </c>
    </row>
    <row r="22">
      <c r="A22" t="inlineStr">
        <is>
          <t>Seguro pagado por anticipado</t>
        </is>
      </c>
      <c r="B22" s="2" t="n">
        <v>869000</v>
      </c>
    </row>
    <row r="23">
      <c r="A23" s="1" t="inlineStr">
        <is>
          <t>Total activo corriente</t>
        </is>
      </c>
      <c r="B23" s="2">
        <f>SUM(B15:B22)</f>
        <v/>
      </c>
    </row>
    <row r="24">
      <c r="B24" s="2" t="n"/>
    </row>
    <row r="25">
      <c r="A25" s="3" t="inlineStr">
        <is>
          <t>Activo no corriente</t>
        </is>
      </c>
      <c r="B25" s="2" t="n"/>
    </row>
    <row r="26">
      <c r="A26" t="inlineStr">
        <is>
          <t>Maquinaria</t>
        </is>
      </c>
      <c r="B26" s="2" t="n">
        <v>24140000</v>
      </c>
    </row>
    <row r="27">
      <c r="A27" t="inlineStr">
        <is>
          <t>Depreciación acumulada</t>
        </is>
      </c>
      <c r="B27" s="2" t="n">
        <v>-2770833</v>
      </c>
    </row>
    <row r="28">
      <c r="A28" s="1" t="inlineStr">
        <is>
          <t>Total activo no corriente</t>
        </is>
      </c>
      <c r="B28" s="2">
        <f>SUM(B26:B27)</f>
        <v/>
      </c>
    </row>
    <row r="29">
      <c r="B29" s="2" t="n"/>
    </row>
    <row r="30">
      <c r="A30" s="3" t="inlineStr">
        <is>
          <t>Pasivo corriente</t>
        </is>
      </c>
      <c r="B30" s="2" t="n"/>
    </row>
    <row r="31">
      <c r="A31" t="inlineStr">
        <is>
          <t>Proveedores</t>
        </is>
      </c>
      <c r="B31" s="2" t="n">
        <v>18221256</v>
      </c>
    </row>
    <row r="32">
      <c r="A32" t="inlineStr">
        <is>
          <t>Insumos por facturar</t>
        </is>
      </c>
      <c r="B32" s="2" t="n">
        <v>265760</v>
      </c>
    </row>
    <row r="33">
      <c r="A33" t="inlineStr">
        <is>
          <t>Intereses por pagar</t>
        </is>
      </c>
      <c r="B33" s="2" t="n">
        <v>73600</v>
      </c>
    </row>
    <row r="34">
      <c r="A34" t="inlineStr">
        <is>
          <t>Préstamo bancario (corto plazo)</t>
        </is>
      </c>
      <c r="B34" s="2" t="n">
        <v>2980804</v>
      </c>
    </row>
    <row r="35">
      <c r="A35" s="1" t="inlineStr">
        <is>
          <t>Total pasivo corriente</t>
        </is>
      </c>
      <c r="B35" s="2">
        <f>SUM(B31:B34)</f>
        <v/>
      </c>
    </row>
    <row r="36">
      <c r="B36" s="2" t="n"/>
    </row>
    <row r="37">
      <c r="A37" s="3" t="inlineStr">
        <is>
          <t>Pasivo no corriente</t>
        </is>
      </c>
      <c r="B37" s="2" t="n"/>
    </row>
    <row r="38">
      <c r="A38" t="inlineStr">
        <is>
          <t>Préstamo bancario (largo plazo)</t>
        </is>
      </c>
      <c r="B38" s="2" t="n">
        <v>3419196</v>
      </c>
    </row>
    <row r="39">
      <c r="A39" t="inlineStr">
        <is>
          <t>Documentos por pagar a largo plazo</t>
        </is>
      </c>
      <c r="B39" s="2" t="n">
        <v>8750000</v>
      </c>
    </row>
    <row r="40">
      <c r="A40" s="1" t="inlineStr">
        <is>
          <t>Total pasivo no corriente</t>
        </is>
      </c>
      <c r="B40" s="2">
        <f>SUM(B38:B39)</f>
        <v/>
      </c>
    </row>
    <row r="41">
      <c r="B41" s="2" t="n"/>
    </row>
    <row r="42">
      <c r="A42" s="3" t="inlineStr">
        <is>
          <t>Patrimonio</t>
        </is>
      </c>
      <c r="B42" s="2" t="n"/>
    </row>
    <row r="43">
      <c r="A43" t="inlineStr">
        <is>
          <t>Capital</t>
        </is>
      </c>
      <c r="B43" s="2" t="n">
        <v>14428000</v>
      </c>
    </row>
    <row r="44">
      <c r="A44" t="inlineStr">
        <is>
          <t>Resultado del ejercicio</t>
        </is>
      </c>
      <c r="B44" s="2">
        <f>B11</f>
        <v/>
      </c>
    </row>
    <row r="45">
      <c r="A45" s="1" t="inlineStr">
        <is>
          <t>Total patrimonio</t>
        </is>
      </c>
      <c r="B45" s="2">
        <f>SUM(B43:B44)</f>
        <v/>
      </c>
    </row>
    <row r="46">
      <c r="A46" t="inlineStr">
        <is>
          <t>Activo − pasivo − patrimonio (debe dar 0)</t>
        </is>
      </c>
      <c r="B46" s="2">
        <f>B23+B28-B35-B40-B45</f>
        <v/>
      </c>
    </row>
    <row r="47">
      <c r="B47" s="2" t="n"/>
    </row>
    <row r="48">
      <c r="A48" s="1" t="inlineStr">
        <is>
          <t>Razones</t>
        </is>
      </c>
      <c r="B48" s="2" t="n"/>
    </row>
    <row r="49">
      <c r="A49" t="inlineStr">
        <is>
          <t>Liquidez corriente</t>
        </is>
      </c>
      <c r="B49" s="4">
        <f>B23/B35</f>
        <v/>
      </c>
    </row>
    <row r="50">
      <c r="A50" t="inlineStr">
        <is>
          <t>Prueba ácida</t>
        </is>
      </c>
      <c r="B50" s="4">
        <f>(B23-(B18+B19+B20))/B35</f>
        <v/>
      </c>
    </row>
    <row r="51">
      <c r="A51" t="inlineStr">
        <is>
          <t>Capital de trabajo</t>
        </is>
      </c>
      <c r="B51" s="2">
        <f>B23-B35</f>
        <v/>
      </c>
    </row>
    <row r="52">
      <c r="A52" t="inlineStr">
        <is>
          <t>Pasivo / patrimonio</t>
        </is>
      </c>
      <c r="B52" s="4">
        <f>(B35+B40)/B45</f>
        <v/>
      </c>
    </row>
    <row r="53">
      <c r="A53" t="inlineStr">
        <is>
          <t>Pasivo / activo</t>
        </is>
      </c>
      <c r="B53" s="5">
        <f>(B35+B40)/(B23+B28)</f>
        <v/>
      </c>
    </row>
    <row r="54">
      <c r="A54" t="inlineStr">
        <is>
          <t>Pasivo de largo plazo / pasivo</t>
        </is>
      </c>
      <c r="B54" s="5">
        <f>B40/(B35+B40)</f>
        <v/>
      </c>
    </row>
    <row r="55">
      <c r="A55" t="inlineStr">
        <is>
          <t>Rotación de inventario</t>
        </is>
      </c>
      <c r="B55" s="4">
        <f>(-B5-B6)/(B18+B19+B20)</f>
        <v/>
      </c>
    </row>
    <row r="56">
      <c r="A56" t="inlineStr">
        <is>
          <t>Días de inventario (31 días)</t>
        </is>
      </c>
      <c r="B56" s="4">
        <f>31/B55</f>
        <v/>
      </c>
    </row>
    <row r="57">
      <c r="A57" t="inlineStr">
        <is>
          <t>Rotación de cuentas por cobrar</t>
        </is>
      </c>
      <c r="B57" s="4">
        <f>B4/B16</f>
        <v/>
      </c>
    </row>
    <row r="58">
      <c r="A58" t="inlineStr">
        <is>
          <t>Días de cobro (31 días)</t>
        </is>
      </c>
      <c r="B58" s="4">
        <f>31/B57</f>
        <v/>
      </c>
    </row>
    <row r="59">
      <c r="A59" t="inlineStr">
        <is>
          <t>Margen bruto</t>
        </is>
      </c>
      <c r="B59" s="5">
        <f>(B4-(-B5-B6))/B4</f>
        <v/>
      </c>
    </row>
    <row r="60">
      <c r="A60" t="inlineStr">
        <is>
          <t>Margen neto</t>
        </is>
      </c>
      <c r="B60" s="5">
        <f>B11/B4</f>
        <v/>
      </c>
    </row>
    <row r="61">
      <c r="A61" t="inlineStr">
        <is>
          <t>ROA (resultado operacional / activo)</t>
        </is>
      </c>
      <c r="B61" s="5">
        <f>B9/(B23+B28)</f>
        <v/>
      </c>
    </row>
    <row r="62">
      <c r="A62" t="inlineStr">
        <is>
          <t>ROE (resultado / patrimonio)</t>
        </is>
      </c>
      <c r="B62" s="5">
        <f>B11/B45</f>
        <v/>
      </c>
    </row>
    <row r="63">
      <c r="A63" t="inlineStr">
        <is>
          <t>Cobertura de gastos financieros</t>
        </is>
      </c>
      <c r="B63" s="4">
        <f>B9/(-B10)</f>
        <v/>
      </c>
    </row>
    <row r="64">
      <c r="B6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</cols>
  <sheetData>
    <row r="1">
      <c r="A1" s="1" t="inlineStr">
        <is>
          <t>Ejemplo ferretería 2025</t>
        </is>
      </c>
    </row>
    <row r="3">
      <c r="A3" s="1" t="inlineStr">
        <is>
          <t>Estado de resultados por función</t>
        </is>
      </c>
      <c r="B3" s="2" t="n"/>
    </row>
    <row r="4">
      <c r="A4" t="inlineStr">
        <is>
          <t>Ventas</t>
        </is>
      </c>
      <c r="B4" s="2" t="n">
        <v>96400000</v>
      </c>
    </row>
    <row r="5">
      <c r="A5" t="inlineStr">
        <is>
          <t>Costo de ventas</t>
        </is>
      </c>
      <c r="B5" s="2" t="n">
        <v>-63700000</v>
      </c>
    </row>
    <row r="6">
      <c r="A6" s="1" t="inlineStr">
        <is>
          <t>Margen bruto</t>
        </is>
      </c>
      <c r="B6" s="2">
        <f>B4+B5</f>
        <v/>
      </c>
    </row>
    <row r="7">
      <c r="A7" t="inlineStr">
        <is>
          <t>Gastos de administración y ventas</t>
        </is>
      </c>
      <c r="B7" s="2" t="n">
        <v>-22950000</v>
      </c>
    </row>
    <row r="8">
      <c r="A8" s="1" t="inlineStr">
        <is>
          <t>Resultado operacional</t>
        </is>
      </c>
      <c r="B8" s="2">
        <f>B6+B7</f>
        <v/>
      </c>
    </row>
    <row r="9">
      <c r="A9" t="inlineStr">
        <is>
          <t>Gastos financieros</t>
        </is>
      </c>
      <c r="B9" s="2" t="n">
        <v>-1480000</v>
      </c>
    </row>
    <row r="10">
      <c r="A10" s="1" t="inlineStr">
        <is>
          <t>Resultado antes de impuesto</t>
        </is>
      </c>
      <c r="B10" s="2">
        <f>B8+B9</f>
        <v/>
      </c>
    </row>
    <row r="11">
      <c r="A11" t="inlineStr">
        <is>
          <t>Impuesto a la renta</t>
        </is>
      </c>
      <c r="B11" s="2" t="n">
        <v>-2105000</v>
      </c>
    </row>
    <row r="12">
      <c r="A12" s="1" t="inlineStr">
        <is>
          <t>Utilidad del ejercicio</t>
        </is>
      </c>
      <c r="B12" s="2">
        <f>B10+B11</f>
        <v/>
      </c>
    </row>
    <row r="13">
      <c r="B13" s="2" t="n"/>
    </row>
    <row r="14">
      <c r="A14" s="1" t="inlineStr">
        <is>
          <t>Balance (estado de situación financiera)</t>
        </is>
      </c>
      <c r="B14" s="2" t="n"/>
    </row>
    <row r="15">
      <c r="A15" s="3" t="inlineStr">
        <is>
          <t>Activo corriente</t>
        </is>
      </c>
      <c r="B15" s="2" t="n"/>
    </row>
    <row r="16">
      <c r="A16" t="inlineStr">
        <is>
          <t>Caja y banco</t>
        </is>
      </c>
      <c r="B16" s="2" t="n">
        <v>6840000</v>
      </c>
    </row>
    <row r="17">
      <c r="A17" t="inlineStr">
        <is>
          <t>Clientes</t>
        </is>
      </c>
      <c r="B17" s="2" t="n">
        <v>9120000</v>
      </c>
    </row>
    <row r="18">
      <c r="A18" t="inlineStr">
        <is>
          <t>Existencias</t>
        </is>
      </c>
      <c r="B18" s="2" t="n">
        <v>14350000</v>
      </c>
    </row>
    <row r="19">
      <c r="A19" t="inlineStr">
        <is>
          <t>Seguro pagado por anticipado</t>
        </is>
      </c>
      <c r="B19" s="2" t="n">
        <v>1260000</v>
      </c>
    </row>
    <row r="20">
      <c r="A20" s="1" t="inlineStr">
        <is>
          <t>Total activo corriente</t>
        </is>
      </c>
      <c r="B20" s="2">
        <f>SUM(B16:B19)</f>
        <v/>
      </c>
    </row>
    <row r="21">
      <c r="B21" s="2" t="n"/>
    </row>
    <row r="22">
      <c r="A22" s="3" t="inlineStr">
        <is>
          <t>Activo no corriente</t>
        </is>
      </c>
      <c r="B22" s="2" t="n"/>
    </row>
    <row r="23">
      <c r="A23" t="inlineStr">
        <is>
          <t>Vehículos</t>
        </is>
      </c>
      <c r="B23" s="2" t="n">
        <v>18900000</v>
      </c>
    </row>
    <row r="24">
      <c r="A24" t="inlineStr">
        <is>
          <t>Depreciación acumulada</t>
        </is>
      </c>
      <c r="B24" s="2" t="n">
        <v>-5670000</v>
      </c>
    </row>
    <row r="25">
      <c r="A25" t="inlineStr">
        <is>
          <t>Terreno</t>
        </is>
      </c>
      <c r="B25" s="2" t="n">
        <v>11500000</v>
      </c>
    </row>
    <row r="26">
      <c r="A26" s="1" t="inlineStr">
        <is>
          <t>Total activo no corriente</t>
        </is>
      </c>
      <c r="B26" s="2">
        <f>SUM(B23:B25)</f>
        <v/>
      </c>
    </row>
    <row r="27">
      <c r="B27" s="2" t="n"/>
    </row>
    <row r="28">
      <c r="A28" s="3" t="inlineStr">
        <is>
          <t>Pasivo corriente</t>
        </is>
      </c>
      <c r="B28" s="2" t="n"/>
    </row>
    <row r="29">
      <c r="A29" t="inlineStr">
        <is>
          <t>Proveedores</t>
        </is>
      </c>
      <c r="B29" s="2" t="n">
        <v>10480000</v>
      </c>
    </row>
    <row r="30">
      <c r="A30" t="inlineStr">
        <is>
          <t>IVA por pagar</t>
        </is>
      </c>
      <c r="B30" s="2" t="n">
        <v>1150000</v>
      </c>
    </row>
    <row r="31">
      <c r="A31" t="inlineStr">
        <is>
          <t>Sueldos por pagar</t>
        </is>
      </c>
      <c r="B31" s="2" t="n">
        <v>2310000</v>
      </c>
    </row>
    <row r="32">
      <c r="A32" t="inlineStr">
        <is>
          <t>Préstamo bancario (corto plazo)</t>
        </is>
      </c>
      <c r="B32" s="2" t="n">
        <v>3600000</v>
      </c>
    </row>
    <row r="33">
      <c r="A33" s="1" t="inlineStr">
        <is>
          <t>Total pasivo corriente</t>
        </is>
      </c>
      <c r="B33" s="2">
        <f>SUM(B29:B32)</f>
        <v/>
      </c>
    </row>
    <row r="34">
      <c r="B34" s="2" t="n"/>
    </row>
    <row r="35">
      <c r="A35" s="3" t="inlineStr">
        <is>
          <t>Pasivo no corriente</t>
        </is>
      </c>
      <c r="B35" s="2" t="n"/>
    </row>
    <row r="36">
      <c r="A36" t="inlineStr">
        <is>
          <t>Préstamo bancario (largo plazo)</t>
        </is>
      </c>
      <c r="B36" s="2" t="n">
        <v>9800000</v>
      </c>
    </row>
    <row r="37">
      <c r="A37" s="1" t="inlineStr">
        <is>
          <t>Total pasivo no corriente</t>
        </is>
      </c>
      <c r="B37" s="2">
        <f>SUM(B36:B36)</f>
        <v/>
      </c>
    </row>
    <row r="38">
      <c r="B38" s="2" t="n"/>
    </row>
    <row r="39">
      <c r="A39" s="3" t="inlineStr">
        <is>
          <t>Patrimonio</t>
        </is>
      </c>
      <c r="B39" s="2" t="n"/>
    </row>
    <row r="40">
      <c r="A40" t="inlineStr">
        <is>
          <t>Capital</t>
        </is>
      </c>
      <c r="B40" s="2" t="n">
        <v>20000000</v>
      </c>
    </row>
    <row r="41">
      <c r="A41" t="inlineStr">
        <is>
          <t>Utilidades retenidas</t>
        </is>
      </c>
      <c r="B41" s="2" t="n">
        <v>2795000</v>
      </c>
    </row>
    <row r="42">
      <c r="A42" t="inlineStr">
        <is>
          <t>Utilidad del ejercicio</t>
        </is>
      </c>
      <c r="B42" s="2">
        <f>B12</f>
        <v/>
      </c>
    </row>
    <row r="43">
      <c r="A43" s="1" t="inlineStr">
        <is>
          <t>Total patrimonio</t>
        </is>
      </c>
      <c r="B43" s="2">
        <f>SUM(B40:B42)</f>
        <v/>
      </c>
    </row>
    <row r="44">
      <c r="A44" t="inlineStr">
        <is>
          <t>Activo − pasivo − patrimonio (debe dar 0)</t>
        </is>
      </c>
      <c r="B44" s="2">
        <f>B20+B26-B33-B37-B43</f>
        <v/>
      </c>
    </row>
    <row r="45">
      <c r="B45" s="2" t="n"/>
    </row>
    <row r="46">
      <c r="A46" s="1" t="inlineStr">
        <is>
          <t>Razones</t>
        </is>
      </c>
      <c r="B46" s="2" t="n"/>
    </row>
    <row r="47">
      <c r="A47" t="inlineStr">
        <is>
          <t>Liquidez corriente</t>
        </is>
      </c>
      <c r="B47" s="4">
        <f>B20/B33</f>
        <v/>
      </c>
    </row>
    <row r="48">
      <c r="A48" t="inlineStr">
        <is>
          <t>Prueba ácida</t>
        </is>
      </c>
      <c r="B48" s="4">
        <f>(B20-B18)/B33</f>
        <v/>
      </c>
    </row>
    <row r="49">
      <c r="A49" t="inlineStr">
        <is>
          <t>Capital de trabajo</t>
        </is>
      </c>
      <c r="B49" s="2">
        <f>B20-B33</f>
        <v/>
      </c>
    </row>
    <row r="50">
      <c r="A50" t="inlineStr">
        <is>
          <t>Pasivo / patrimonio</t>
        </is>
      </c>
      <c r="B50" s="4">
        <f>(B33+B37)/B43</f>
        <v/>
      </c>
    </row>
    <row r="51">
      <c r="A51" t="inlineStr">
        <is>
          <t>Pasivo / activo</t>
        </is>
      </c>
      <c r="B51" s="5">
        <f>(B33+B37)/(B20+B26)</f>
        <v/>
      </c>
    </row>
    <row r="52">
      <c r="A52" t="inlineStr">
        <is>
          <t>Pasivo de largo plazo / pasivo</t>
        </is>
      </c>
      <c r="B52" s="5">
        <f>B37/(B33+B37)</f>
        <v/>
      </c>
    </row>
    <row r="53">
      <c r="A53" t="inlineStr">
        <is>
          <t>Rotación de inventario</t>
        </is>
      </c>
      <c r="B53" s="4">
        <f>(-B5)/B18</f>
        <v/>
      </c>
    </row>
    <row r="54">
      <c r="A54" t="inlineStr">
        <is>
          <t>Días de inventario (365 días)</t>
        </is>
      </c>
      <c r="B54" s="4">
        <f>365/B53</f>
        <v/>
      </c>
    </row>
    <row r="55">
      <c r="A55" t="inlineStr">
        <is>
          <t>Rotación de cuentas por cobrar</t>
        </is>
      </c>
      <c r="B55" s="4">
        <f>B4/B17</f>
        <v/>
      </c>
    </row>
    <row r="56">
      <c r="A56" t="inlineStr">
        <is>
          <t>Días de cobro (365 días)</t>
        </is>
      </c>
      <c r="B56" s="4">
        <f>365/B55</f>
        <v/>
      </c>
    </row>
    <row r="57">
      <c r="A57" t="inlineStr">
        <is>
          <t>Margen bruto</t>
        </is>
      </c>
      <c r="B57" s="5">
        <f>(B4-(-B5))/B4</f>
        <v/>
      </c>
    </row>
    <row r="58">
      <c r="A58" t="inlineStr">
        <is>
          <t>Margen neto</t>
        </is>
      </c>
      <c r="B58" s="5">
        <f>B12/B4</f>
        <v/>
      </c>
    </row>
    <row r="59">
      <c r="A59" t="inlineStr">
        <is>
          <t>ROA (resultado operacional / activo)</t>
        </is>
      </c>
      <c r="B59" s="5">
        <f>B8/(B20+B26)</f>
        <v/>
      </c>
    </row>
    <row r="60">
      <c r="A60" t="inlineStr">
        <is>
          <t>ROE (resultado / patrimonio)</t>
        </is>
      </c>
      <c r="B60" s="5">
        <f>B12/B43</f>
        <v/>
      </c>
    </row>
    <row r="61">
      <c r="A61" t="inlineStr">
        <is>
          <t>Cobertura de gastos financieros</t>
        </is>
      </c>
      <c r="B61" s="4">
        <f>B8/(-B9)</f>
        <v/>
      </c>
    </row>
    <row r="62">
      <c r="B6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2026-10-16T10:52:32Z</dcterms:created>
  <dcterms:modified xmlns:dcterms="http://purl.org/dc/terms/" xmlns:xsi="http://www.w3.org/2001/XMLSchema-instance" xsi:type="dcterms:W3CDTF">2026-10-16T10:52:32Z</dcterms:modified>
</cp:coreProperties>
</file>