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ladería" sheetId="1" state="visible" r:id="rId1"/>
    <sheet xmlns:r="http://schemas.openxmlformats.org/officeDocument/2006/relationships" name="Estampa Su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Punto de equilibrio multiproducto · la heladería de Martín (enero)</t>
        </is>
      </c>
    </row>
    <row r="3">
      <c r="A3" t="inlineStr">
        <is>
          <t>Dato</t>
        </is>
      </c>
      <c r="B3" t="inlineStr">
        <is>
          <t>cono simple</t>
        </is>
      </c>
      <c r="C3" t="inlineStr">
        <is>
          <t>vaso doble</t>
        </is>
      </c>
      <c r="D3" t="inlineStr">
        <is>
          <t>pote de 1 litro</t>
        </is>
      </c>
      <c r="E3" t="inlineStr">
        <is>
          <t>Total</t>
        </is>
      </c>
    </row>
    <row r="4">
      <c r="A4" t="inlineStr">
        <is>
          <t>Unidades vendidas</t>
        </is>
      </c>
      <c r="B4" t="n">
        <v>3150</v>
      </c>
      <c r="C4" t="n">
        <v>1890</v>
      </c>
      <c r="D4" t="n">
        <v>1260</v>
      </c>
      <c r="E4">
        <f>SUM(B4:D4)</f>
        <v/>
      </c>
    </row>
    <row r="5">
      <c r="A5" t="inlineStr">
        <is>
          <t>Precio neto</t>
        </is>
      </c>
      <c r="B5" t="n">
        <v>2250</v>
      </c>
      <c r="C5" t="n">
        <v>3450</v>
      </c>
      <c r="D5" t="n">
        <v>8900</v>
      </c>
    </row>
    <row r="6">
      <c r="A6" t="inlineStr">
        <is>
          <t>Costo variable unitario</t>
        </is>
      </c>
      <c r="B6" t="n">
        <v>880</v>
      </c>
      <c r="C6" t="n">
        <v>1430</v>
      </c>
      <c r="D6" t="n">
        <v>3640</v>
      </c>
    </row>
    <row r="7">
      <c r="A7" t="inlineStr">
        <is>
          <t>Costos fijos del mes</t>
        </is>
      </c>
      <c r="B7" t="n">
        <v>4986000</v>
      </c>
    </row>
    <row r="8">
      <c r="A8" t="inlineStr">
        <is>
          <t>Utilidad objetivo</t>
        </is>
      </c>
      <c r="B8" t="n">
        <v>6150000</v>
      </c>
    </row>
    <row r="10">
      <c r="A10" t="inlineStr">
        <is>
          <t>Mezcla (participación)</t>
        </is>
      </c>
      <c r="B10">
        <f>B4/E4</f>
        <v/>
      </c>
      <c r="C10">
        <f>C4/E4</f>
        <v/>
      </c>
      <c r="D10">
        <f>D4/E4</f>
        <v/>
      </c>
      <c r="E10">
        <f>SUM(B10:D10)</f>
        <v/>
      </c>
    </row>
    <row r="11">
      <c r="A11" t="inlineStr">
        <is>
          <t>Margen de contribución unitario</t>
        </is>
      </c>
      <c r="B11">
        <f>B5-B6</f>
        <v/>
      </c>
      <c r="C11">
        <f>C5-C6</f>
        <v/>
      </c>
      <c r="D11">
        <f>D5-D6</f>
        <v/>
      </c>
    </row>
    <row r="12">
      <c r="A12" t="inlineStr">
        <is>
          <t>Margen ponderado por producto</t>
        </is>
      </c>
      <c r="B12">
        <f>B11*B10</f>
        <v/>
      </c>
      <c r="C12">
        <f>C11*C10</f>
        <v/>
      </c>
      <c r="D12">
        <f>D11*D10</f>
        <v/>
      </c>
      <c r="E12">
        <f>SUM(B12:D12)</f>
        <v/>
      </c>
    </row>
    <row r="13">
      <c r="A13" t="inlineStr">
        <is>
          <t>Precio ponderado por producto</t>
        </is>
      </c>
      <c r="B13">
        <f>B5*B10</f>
        <v/>
      </c>
      <c r="C13">
        <f>C5*C10</f>
        <v/>
      </c>
      <c r="D13">
        <f>D5*D10</f>
        <v/>
      </c>
      <c r="E13">
        <f>SUM(B13:D13)</f>
        <v/>
      </c>
    </row>
    <row r="15">
      <c r="A15" t="inlineStr">
        <is>
          <t>Punto de equilibrio (unidades)</t>
        </is>
      </c>
      <c r="B15">
        <f>B7/E12</f>
        <v/>
      </c>
    </row>
    <row r="16">
      <c r="A16" t="inlineStr">
        <is>
          <t>Punto de equilibrio (pesos)</t>
        </is>
      </c>
      <c r="B16">
        <f>B15*E13</f>
        <v/>
      </c>
    </row>
    <row r="17">
      <c r="A17" t="inlineStr">
        <is>
          <t>Razón de margen de contribución</t>
        </is>
      </c>
      <c r="B17">
        <f>E12/E13</f>
        <v/>
      </c>
    </row>
    <row r="18">
      <c r="A18" t="inlineStr">
        <is>
          <t>Equilibrio por producto (unidades)</t>
        </is>
      </c>
      <c r="B18">
        <f>B15*B10</f>
        <v/>
      </c>
      <c r="C18">
        <f>B15*C10</f>
        <v/>
      </c>
      <c r="D18">
        <f>B15*D10</f>
        <v/>
      </c>
      <c r="E18">
        <f>SUM(B18:D18)</f>
        <v/>
      </c>
    </row>
    <row r="19">
      <c r="A19" t="inlineStr">
        <is>
          <t>Ingreso en equilibrio por producto</t>
        </is>
      </c>
      <c r="B19">
        <f>B18*B5</f>
        <v/>
      </c>
      <c r="C19">
        <f>C18*C5</f>
        <v/>
      </c>
      <c r="D19">
        <f>D18*D5</f>
        <v/>
      </c>
      <c r="E19">
        <f>SUM(B19:D19)</f>
        <v/>
      </c>
    </row>
    <row r="20">
      <c r="A20" t="inlineStr">
        <is>
          <t>Comprobación: utilidad en equilibrio</t>
        </is>
      </c>
      <c r="B20">
        <f>SUMPRODUCT(B18:D18,B5:D5)-SUMPRODUCT(B18:D18,B6:D6)-B7</f>
        <v/>
      </c>
    </row>
    <row r="22">
      <c r="A22" t="inlineStr">
        <is>
          <t>Ventas del período (pesos)</t>
        </is>
      </c>
      <c r="B22">
        <f>SUMPRODUCT(B4:D4,B5:D5)</f>
        <v/>
      </c>
    </row>
    <row r="23">
      <c r="A23" t="inlineStr">
        <is>
          <t>Margen de contribución total</t>
        </is>
      </c>
      <c r="B23">
        <f>SUMPRODUCT(B4:D4,B11:D11)</f>
        <v/>
      </c>
    </row>
    <row r="24">
      <c r="A24" t="inlineStr">
        <is>
          <t>Utilidad operacional</t>
        </is>
      </c>
      <c r="B24">
        <f>B23-B7</f>
        <v/>
      </c>
    </row>
    <row r="25">
      <c r="A25" t="inlineStr">
        <is>
          <t>Margen de seguridad</t>
        </is>
      </c>
      <c r="B25">
        <f>(E4-B15)/E4</f>
        <v/>
      </c>
    </row>
    <row r="26">
      <c r="A26" t="inlineStr">
        <is>
          <t>Grado de apalancamiento operativo</t>
        </is>
      </c>
      <c r="B26">
        <f>B23/B24</f>
        <v/>
      </c>
    </row>
    <row r="27">
      <c r="A27" t="inlineStr">
        <is>
          <t>Unidades para la utilidad objetivo</t>
        </is>
      </c>
      <c r="B27">
        <f>(B7+B8)/E12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Punto de equilibrio multiproducto · Estampa Sur (marzo)</t>
        </is>
      </c>
    </row>
    <row r="3">
      <c r="A3" t="inlineStr">
        <is>
          <t>Dato</t>
        </is>
      </c>
      <c r="B3" t="inlineStr">
        <is>
          <t>poleras básicas</t>
        </is>
      </c>
      <c r="C3" t="inlineStr">
        <is>
          <t>polerones</t>
        </is>
      </c>
      <c r="D3" t="inlineStr">
        <is>
          <t>poleras estampado doble</t>
        </is>
      </c>
      <c r="E3" t="inlineStr">
        <is>
          <t>bolsas</t>
        </is>
      </c>
      <c r="F3" t="inlineStr">
        <is>
          <t>gorros</t>
        </is>
      </c>
      <c r="G3" t="inlineStr">
        <is>
          <t>Total</t>
        </is>
      </c>
    </row>
    <row r="4">
      <c r="A4" t="inlineStr">
        <is>
          <t>Unidades vendidas</t>
        </is>
      </c>
      <c r="B4" t="n">
        <v>2120</v>
      </c>
      <c r="C4" t="n">
        <v>795</v>
      </c>
      <c r="D4" t="n">
        <v>795</v>
      </c>
      <c r="E4" t="n">
        <v>954</v>
      </c>
      <c r="F4" t="n">
        <v>636</v>
      </c>
      <c r="G4">
        <f>SUM(B4:F4)</f>
        <v/>
      </c>
    </row>
    <row r="5">
      <c r="A5" t="inlineStr">
        <is>
          <t>Precio neto</t>
        </is>
      </c>
      <c r="B5" t="n">
        <v>3990</v>
      </c>
      <c r="C5" t="n">
        <v>9890</v>
      </c>
      <c r="D5" t="n">
        <v>6290</v>
      </c>
      <c r="E5" t="n">
        <v>2490</v>
      </c>
      <c r="F5" t="n">
        <v>3190</v>
      </c>
    </row>
    <row r="6">
      <c r="A6" t="inlineStr">
        <is>
          <t>Costo variable unitario</t>
        </is>
      </c>
      <c r="B6" t="n">
        <v>2610</v>
      </c>
      <c r="C6" t="n">
        <v>5950</v>
      </c>
      <c r="D6" t="n">
        <v>4020</v>
      </c>
      <c r="E6" t="n">
        <v>1530</v>
      </c>
      <c r="F6" t="n">
        <v>2020</v>
      </c>
    </row>
    <row r="7">
      <c r="A7" t="inlineStr">
        <is>
          <t>Costos fijos operacionales</t>
        </is>
      </c>
      <c r="B7" t="n">
        <v>4285833.333333334</v>
      </c>
    </row>
    <row r="8">
      <c r="A8" t="inlineStr">
        <is>
          <t>Utilidad objetivo</t>
        </is>
      </c>
      <c r="B8" t="n">
        <v>0</v>
      </c>
    </row>
    <row r="10">
      <c r="A10" t="inlineStr">
        <is>
          <t>Mezcla (participación)</t>
        </is>
      </c>
      <c r="B10">
        <f>B4/G4</f>
        <v/>
      </c>
      <c r="C10">
        <f>C4/G4</f>
        <v/>
      </c>
      <c r="D10">
        <f>D4/G4</f>
        <v/>
      </c>
      <c r="E10">
        <f>E4/G4</f>
        <v/>
      </c>
      <c r="F10">
        <f>F4/G4</f>
        <v/>
      </c>
      <c r="G10">
        <f>SUM(B10:F10)</f>
        <v/>
      </c>
    </row>
    <row r="11">
      <c r="A11" t="inlineStr">
        <is>
          <t>Margen de contribución unitario</t>
        </is>
      </c>
      <c r="B11">
        <f>B5-B6</f>
        <v/>
      </c>
      <c r="C11">
        <f>C5-C6</f>
        <v/>
      </c>
      <c r="D11">
        <f>D5-D6</f>
        <v/>
      </c>
      <c r="E11">
        <f>E5-E6</f>
        <v/>
      </c>
      <c r="F11">
        <f>F5-F6</f>
        <v/>
      </c>
    </row>
    <row r="12">
      <c r="A12" t="inlineStr">
        <is>
          <t>Margen ponderado por producto</t>
        </is>
      </c>
      <c r="B12">
        <f>B11*B10</f>
        <v/>
      </c>
      <c r="C12">
        <f>C11*C10</f>
        <v/>
      </c>
      <c r="D12">
        <f>D11*D10</f>
        <v/>
      </c>
      <c r="E12">
        <f>E11*E10</f>
        <v/>
      </c>
      <c r="F12">
        <f>F11*F10</f>
        <v/>
      </c>
      <c r="G12">
        <f>SUM(B12:F12)</f>
        <v/>
      </c>
    </row>
    <row r="13">
      <c r="A13" t="inlineStr">
        <is>
          <t>Precio ponderado por producto</t>
        </is>
      </c>
      <c r="B13">
        <f>B5*B10</f>
        <v/>
      </c>
      <c r="C13">
        <f>C5*C10</f>
        <v/>
      </c>
      <c r="D13">
        <f>D5*D10</f>
        <v/>
      </c>
      <c r="E13">
        <f>E5*E10</f>
        <v/>
      </c>
      <c r="F13">
        <f>F5*F10</f>
        <v/>
      </c>
      <c r="G13">
        <f>SUM(B13:F13)</f>
        <v/>
      </c>
    </row>
    <row r="15">
      <c r="A15" t="inlineStr">
        <is>
          <t>Punto de equilibrio (unidades)</t>
        </is>
      </c>
      <c r="B15">
        <f>B7/G12</f>
        <v/>
      </c>
    </row>
    <row r="16">
      <c r="A16" t="inlineStr">
        <is>
          <t>Punto de equilibrio (pesos)</t>
        </is>
      </c>
      <c r="B16">
        <f>B15*G13</f>
        <v/>
      </c>
    </row>
    <row r="17">
      <c r="A17" t="inlineStr">
        <is>
          <t>Razón de margen de contribución</t>
        </is>
      </c>
      <c r="B17">
        <f>G12/G13</f>
        <v/>
      </c>
    </row>
    <row r="18">
      <c r="A18" t="inlineStr">
        <is>
          <t>Equilibrio por producto (unidades)</t>
        </is>
      </c>
      <c r="B18">
        <f>B15*B10</f>
        <v/>
      </c>
      <c r="C18">
        <f>B15*C10</f>
        <v/>
      </c>
      <c r="D18">
        <f>B15*D10</f>
        <v/>
      </c>
      <c r="E18">
        <f>B15*E10</f>
        <v/>
      </c>
      <c r="F18">
        <f>B15*F10</f>
        <v/>
      </c>
      <c r="G18">
        <f>SUM(B18:F18)</f>
        <v/>
      </c>
    </row>
    <row r="19">
      <c r="A19" t="inlineStr">
        <is>
          <t>Ingreso en equilibrio por producto</t>
        </is>
      </c>
      <c r="B19">
        <f>B18*B5</f>
        <v/>
      </c>
      <c r="C19">
        <f>C18*C5</f>
        <v/>
      </c>
      <c r="D19">
        <f>D18*D5</f>
        <v/>
      </c>
      <c r="E19">
        <f>E18*E5</f>
        <v/>
      </c>
      <c r="F19">
        <f>F18*F5</f>
        <v/>
      </c>
      <c r="G19">
        <f>SUM(B19:F19)</f>
        <v/>
      </c>
    </row>
    <row r="20">
      <c r="A20" t="inlineStr">
        <is>
          <t>Comprobación: utilidad en equilibrio</t>
        </is>
      </c>
      <c r="B20">
        <f>SUMPRODUCT(B18:F18,B5:F5)-SUMPRODUCT(B18:F18,B6:F6)-B7</f>
        <v/>
      </c>
    </row>
    <row r="22">
      <c r="A22" t="inlineStr">
        <is>
          <t>Ventas del período (pesos)</t>
        </is>
      </c>
      <c r="B22">
        <f>SUMPRODUCT(B4:F4,B5:F5)</f>
        <v/>
      </c>
    </row>
    <row r="23">
      <c r="A23" t="inlineStr">
        <is>
          <t>Margen de contribución total</t>
        </is>
      </c>
      <c r="B23">
        <f>SUMPRODUCT(B4:F4,B11:F11)</f>
        <v/>
      </c>
    </row>
    <row r="24">
      <c r="A24" t="inlineStr">
        <is>
          <t>Utilidad operacional</t>
        </is>
      </c>
      <c r="B24">
        <f>B23-B7</f>
        <v/>
      </c>
    </row>
    <row r="25">
      <c r="A25" t="inlineStr">
        <is>
          <t>Margen de seguridad</t>
        </is>
      </c>
      <c r="B25">
        <f>(G4-B15)/G4</f>
        <v/>
      </c>
    </row>
    <row r="26">
      <c r="A26" t="inlineStr">
        <is>
          <t>Grado de apalancamiento operativo</t>
        </is>
      </c>
      <c r="B26">
        <f>B23/B24</f>
        <v/>
      </c>
    </row>
    <row r="27">
      <c r="A27" t="inlineStr">
        <is>
          <t>Unidades para la utilidad objetivo</t>
        </is>
      </c>
      <c r="B27">
        <f>(B7+B8)/G12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2026-10-16T10:52:35Z</dcterms:created>
  <dcterms:modified xmlns:dcterms="http://purl.org/dc/terms/" xmlns:xsi="http://www.w3.org/2001/XMLSchema-instance" xsi:type="dcterms:W3CDTF">2026-10-16T10:52:35Z</dcterms:modified>
</cp:coreProperties>
</file>