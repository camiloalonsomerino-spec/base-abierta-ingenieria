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blería" sheetId="1" state="visible" r:id="rId1"/>
    <sheet xmlns:r="http://schemas.openxmlformats.org/officeDocument/2006/relationships" name="Estampa S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Asignación de CIF · la mueblería de Ignacia (presupuesto de mayo)</t>
        </is>
      </c>
    </row>
    <row r="3">
      <c r="A3" t="inlineStr">
        <is>
          <t>CIF presupuestado del mes</t>
        </is>
      </c>
      <c r="B3" t="n">
        <v>6229300</v>
      </c>
    </row>
    <row r="4">
      <c r="A4" t="inlineStr">
        <is>
          <t>Recargo sobre el costo</t>
        </is>
      </c>
      <c r="B4" t="n">
        <v>0.4</v>
      </c>
    </row>
    <row r="6">
      <c r="A6" t="inlineStr">
        <is>
          <t>Dato</t>
        </is>
      </c>
      <c r="B6" t="inlineStr">
        <is>
          <t>mesas de centro</t>
        </is>
      </c>
      <c r="C6" t="inlineStr">
        <is>
          <t>sillas</t>
        </is>
      </c>
      <c r="D6" t="inlineStr">
        <is>
          <t>repisas</t>
        </is>
      </c>
      <c r="E6" t="inlineStr">
        <is>
          <t>Total</t>
        </is>
      </c>
    </row>
    <row r="7">
      <c r="A7" t="inlineStr">
        <is>
          <t>Unidades presupuestadas</t>
        </is>
      </c>
      <c r="B7" t="n">
        <v>125</v>
      </c>
      <c r="C7" t="n">
        <v>460</v>
      </c>
      <c r="D7" t="n">
        <v>310</v>
      </c>
      <c r="E7">
        <f>SUM(B7:D7)</f>
        <v/>
      </c>
    </row>
    <row r="8">
      <c r="A8" t="inlineStr">
        <is>
          <t>Horas máquina por unidad</t>
        </is>
      </c>
      <c r="B8" t="n">
        <v>2.4</v>
      </c>
      <c r="C8" t="n">
        <v>0.5</v>
      </c>
      <c r="D8" t="n">
        <v>0.9</v>
      </c>
    </row>
    <row r="9">
      <c r="A9" t="inlineStr">
        <is>
          <t>Horas hombre por unidad</t>
        </is>
      </c>
      <c r="B9" t="n">
        <v>3.2</v>
      </c>
      <c r="C9" t="n">
        <v>1.4</v>
      </c>
      <c r="D9" t="n">
        <v>1.1</v>
      </c>
    </row>
    <row r="10">
      <c r="A10" t="inlineStr">
        <is>
          <t>Costo directo por unidad (MPD + MOD)</t>
        </is>
      </c>
      <c r="B10" t="n">
        <v>58400</v>
      </c>
      <c r="C10" t="n">
        <v>21700</v>
      </c>
      <c r="D10" t="n">
        <v>17900</v>
      </c>
    </row>
    <row r="11">
      <c r="A11" t="inlineStr">
        <is>
          <t>Horas máquina del mes</t>
        </is>
      </c>
      <c r="B11">
        <f>B7*B8</f>
        <v/>
      </c>
      <c r="C11">
        <f>C7*C8</f>
        <v/>
      </c>
      <c r="D11">
        <f>D7*D8</f>
        <v/>
      </c>
      <c r="E11">
        <f>SUM(B11:D11)</f>
        <v/>
      </c>
    </row>
    <row r="12">
      <c r="A12" t="inlineStr">
        <is>
          <t>Horas hombre del mes</t>
        </is>
      </c>
      <c r="B12">
        <f>B7*B9</f>
        <v/>
      </c>
      <c r="C12">
        <f>C7*C9</f>
        <v/>
      </c>
      <c r="D12">
        <f>D7*D9</f>
        <v/>
      </c>
      <c r="E12">
        <f>SUM(B12:D12)</f>
        <v/>
      </c>
    </row>
    <row r="14">
      <c r="A14" t="inlineStr">
        <is>
          <t>Tasa por hora máquina</t>
        </is>
      </c>
      <c r="B14">
        <f>B3/E11</f>
        <v/>
      </c>
    </row>
    <row r="15">
      <c r="A15" t="inlineStr">
        <is>
          <t>Tasa por hora hombre</t>
        </is>
      </c>
      <c r="B15">
        <f>B3/E12</f>
        <v/>
      </c>
    </row>
    <row r="16">
      <c r="A16" t="inlineStr">
        <is>
          <t>Tasa por unidad</t>
        </is>
      </c>
      <c r="B16">
        <f>B3/E7</f>
        <v/>
      </c>
    </row>
    <row r="18">
      <c r="A18" t="inlineStr">
        <is>
          <t>Por unidad</t>
        </is>
      </c>
      <c r="B18" t="inlineStr">
        <is>
          <t>mesas de centro</t>
        </is>
      </c>
      <c r="C18" t="inlineStr">
        <is>
          <t>sillas</t>
        </is>
      </c>
      <c r="D18" t="inlineStr">
        <is>
          <t>repisas</t>
        </is>
      </c>
    </row>
    <row r="19">
      <c r="A19" t="inlineStr">
        <is>
          <t>CIF por hora máquina</t>
        </is>
      </c>
      <c r="B19">
        <f>B14*B8</f>
        <v/>
      </c>
      <c r="C19">
        <f>B14*C8</f>
        <v/>
      </c>
      <c r="D19">
        <f>B14*D8</f>
        <v/>
      </c>
    </row>
    <row r="20">
      <c r="A20" t="inlineStr">
        <is>
          <t>CIF por hora hombre</t>
        </is>
      </c>
      <c r="B20">
        <f>B15*B9</f>
        <v/>
      </c>
      <c r="C20">
        <f>B15*C9</f>
        <v/>
      </c>
      <c r="D20">
        <f>B15*D9</f>
        <v/>
      </c>
    </row>
    <row r="21">
      <c r="A21" t="inlineStr">
        <is>
          <t>CIF por unidad</t>
        </is>
      </c>
      <c r="B21">
        <f>B16</f>
        <v/>
      </c>
      <c r="C21">
        <f>B16</f>
        <v/>
      </c>
      <c r="D21">
        <f>B16</f>
        <v/>
      </c>
    </row>
    <row r="22">
      <c r="A22" t="inlineStr">
        <is>
          <t>Costo completo (base horas máquina)</t>
        </is>
      </c>
      <c r="B22">
        <f>B10+B19</f>
        <v/>
      </c>
      <c r="C22">
        <f>C10+C19</f>
        <v/>
      </c>
      <c r="D22">
        <f>D10+D19</f>
        <v/>
      </c>
    </row>
    <row r="23">
      <c r="A23" t="inlineStr">
        <is>
          <t>Costo completo (base unidades)</t>
        </is>
      </c>
      <c r="B23">
        <f>B10+B21</f>
        <v/>
      </c>
      <c r="C23">
        <f>C10+C21</f>
        <v/>
      </c>
      <c r="D23">
        <f>D10+D21</f>
        <v/>
      </c>
    </row>
    <row r="24">
      <c r="A24" t="inlineStr">
        <is>
          <t>Precio con recargo (base horas máquina)</t>
        </is>
      </c>
      <c r="B24">
        <f>B22*(1+B4)</f>
        <v/>
      </c>
      <c r="C24">
        <f>C22*(1+B4)</f>
        <v/>
      </c>
      <c r="D24">
        <f>D22*(1+B4)</f>
        <v/>
      </c>
    </row>
    <row r="25">
      <c r="A25" t="inlineStr">
        <is>
          <t>Precio con recargo (base unidades)</t>
        </is>
      </c>
      <c r="B25">
        <f>B23*(1+B4)</f>
        <v/>
      </c>
      <c r="C25">
        <f>C23*(1+B4)</f>
        <v/>
      </c>
      <c r="D25">
        <f>D23*(1+B4)</f>
        <v/>
      </c>
    </row>
    <row r="27">
      <c r="A27" s="1" t="inlineStr">
        <is>
          <t>Cierre de mayo</t>
        </is>
      </c>
    </row>
    <row r="28">
      <c r="A28" t="inlineStr">
        <is>
          <t>Unidades producidas</t>
        </is>
      </c>
      <c r="B28" t="n">
        <v>116</v>
      </c>
      <c r="C28" t="n">
        <v>505</v>
      </c>
      <c r="D28" t="n">
        <v>296</v>
      </c>
    </row>
    <row r="29">
      <c r="A29" t="inlineStr">
        <is>
          <t>Horas máquina reales</t>
        </is>
      </c>
      <c r="B29">
        <f>B28*B8</f>
        <v/>
      </c>
      <c r="C29">
        <f>C28*C8</f>
        <v/>
      </c>
      <c r="D29">
        <f>D28*D8</f>
        <v/>
      </c>
      <c r="E29">
        <f>SUM(B29:D29)</f>
        <v/>
      </c>
    </row>
    <row r="30">
      <c r="A30" t="inlineStr">
        <is>
          <t>CIF aplicado</t>
        </is>
      </c>
      <c r="B30">
        <f>B14*E29</f>
        <v/>
      </c>
    </row>
    <row r="31">
      <c r="A31" t="inlineStr">
        <is>
          <t>CIF real</t>
        </is>
      </c>
      <c r="B31" t="n">
        <v>6318400</v>
      </c>
    </row>
    <row r="32">
      <c r="A32" t="inlineStr">
        <is>
          <t>CIF subaplicado (real − aplicado)</t>
        </is>
      </c>
      <c r="B32">
        <f>B31-B30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Estampa Sur · CIF fijo de marzo por segundo de estampado</t>
        </is>
      </c>
    </row>
    <row r="3">
      <c r="A3" t="inlineStr">
        <is>
          <t>Sueldos</t>
        </is>
      </c>
      <c r="B3" t="n">
        <v>2880000</v>
      </c>
    </row>
    <row r="4">
      <c r="A4" t="inlineStr">
        <is>
          <t>Depreciación de las dos máquinas</t>
        </is>
      </c>
      <c r="B4" t="n">
        <v>310833.3333333334</v>
      </c>
    </row>
    <row r="5">
      <c r="A5" t="inlineStr">
        <is>
          <t>Seguro devengado</t>
        </is>
      </c>
      <c r="B5" t="n">
        <v>79000</v>
      </c>
    </row>
    <row r="6">
      <c r="A6" t="inlineStr">
        <is>
          <t>Arriendo devengado</t>
        </is>
      </c>
      <c r="B6" t="n">
        <v>580000</v>
      </c>
    </row>
    <row r="7">
      <c r="A7" t="inlineStr">
        <is>
          <t>CIF fijo del mes</t>
        </is>
      </c>
      <c r="B7">
        <f>SUM(B3:B6)</f>
        <v/>
      </c>
    </row>
    <row r="9">
      <c r="A9" t="inlineStr">
        <is>
          <t>Dato</t>
        </is>
      </c>
      <c r="B9" t="inlineStr">
        <is>
          <t>poleras básicas</t>
        </is>
      </c>
      <c r="C9" t="inlineStr">
        <is>
          <t>polerones</t>
        </is>
      </c>
      <c r="D9" t="inlineStr">
        <is>
          <t>poleras estampado doble</t>
        </is>
      </c>
      <c r="E9" t="inlineStr">
        <is>
          <t>bolsas</t>
        </is>
      </c>
      <c r="F9" t="inlineStr">
        <is>
          <t>gorros</t>
        </is>
      </c>
      <c r="G9" t="inlineStr">
        <is>
          <t>Total</t>
        </is>
      </c>
    </row>
    <row r="10">
      <c r="A10" t="inlineStr">
        <is>
          <t>Prendas producidas</t>
        </is>
      </c>
      <c r="B10" t="n">
        <v>2236</v>
      </c>
      <c r="C10" t="n">
        <v>839</v>
      </c>
      <c r="D10" t="n">
        <v>838</v>
      </c>
      <c r="E10" t="n">
        <v>1006</v>
      </c>
      <c r="F10" t="n">
        <v>671</v>
      </c>
      <c r="G10">
        <f>SUM(B10:F10)</f>
        <v/>
      </c>
    </row>
    <row r="11">
      <c r="A11" t="inlineStr">
        <is>
          <t>Segundos de estampado por prenda</t>
        </is>
      </c>
      <c r="B11" t="n">
        <v>30</v>
      </c>
      <c r="C11" t="n">
        <v>90</v>
      </c>
      <c r="D11" t="n">
        <v>110</v>
      </c>
      <c r="E11" t="n">
        <v>20</v>
      </c>
      <c r="F11" t="n">
        <v>30</v>
      </c>
    </row>
    <row r="12">
      <c r="A12" t="inlineStr">
        <is>
          <t>Precio neto</t>
        </is>
      </c>
      <c r="B12" t="n">
        <v>3990</v>
      </c>
      <c r="C12" t="n">
        <v>9890</v>
      </c>
      <c r="D12" t="n">
        <v>6290</v>
      </c>
      <c r="E12" t="n">
        <v>2490</v>
      </c>
      <c r="F12" t="n">
        <v>3190</v>
      </c>
    </row>
    <row r="13">
      <c r="A13" t="inlineStr">
        <is>
          <t>Costo variable estándar</t>
        </is>
      </c>
      <c r="B13" t="n">
        <v>2610</v>
      </c>
      <c r="C13" t="n">
        <v>5950</v>
      </c>
      <c r="D13" t="n">
        <v>4020</v>
      </c>
      <c r="E13" t="n">
        <v>1530</v>
      </c>
      <c r="F13" t="n">
        <v>2020</v>
      </c>
    </row>
    <row r="14">
      <c r="A14" t="inlineStr">
        <is>
          <t>Segundos del mes</t>
        </is>
      </c>
      <c r="B14">
        <f>B10*B11</f>
        <v/>
      </c>
      <c r="C14">
        <f>C10*C11</f>
        <v/>
      </c>
      <c r="D14">
        <f>D10*D11</f>
        <v/>
      </c>
      <c r="E14">
        <f>E10*E11</f>
        <v/>
      </c>
      <c r="F14">
        <f>F10*F11</f>
        <v/>
      </c>
      <c r="G14">
        <f>SUM(B14:F14)</f>
        <v/>
      </c>
    </row>
    <row r="16">
      <c r="A16" t="inlineStr">
        <is>
          <t>Tasa por segundo</t>
        </is>
      </c>
      <c r="B16">
        <f>B7/G14</f>
        <v/>
      </c>
    </row>
    <row r="17">
      <c r="A17" t="inlineStr">
        <is>
          <t>Tasa por prenda (base unidades)</t>
        </is>
      </c>
      <c r="B17">
        <f>B7/G10</f>
        <v/>
      </c>
    </row>
    <row r="19">
      <c r="A19" t="inlineStr">
        <is>
          <t>CIF fijo por prenda (segundos)</t>
        </is>
      </c>
      <c r="B19">
        <f>B16*B11</f>
        <v/>
      </c>
      <c r="C19">
        <f>B16*C11</f>
        <v/>
      </c>
      <c r="D19">
        <f>B16*D11</f>
        <v/>
      </c>
      <c r="E19">
        <f>B16*E11</f>
        <v/>
      </c>
      <c r="F19">
        <f>B16*F11</f>
        <v/>
      </c>
    </row>
    <row r="20">
      <c r="A20" t="inlineStr">
        <is>
          <t>Costo completo por prenda</t>
        </is>
      </c>
      <c r="B20">
        <f>B13+B19</f>
        <v/>
      </c>
      <c r="C20">
        <f>C13+C19</f>
        <v/>
      </c>
      <c r="D20">
        <f>D13+D19</f>
        <v/>
      </c>
      <c r="E20">
        <f>E13+E19</f>
        <v/>
      </c>
      <c r="F20">
        <f>F13+F19</f>
        <v/>
      </c>
    </row>
    <row r="21">
      <c r="A21" t="inlineStr">
        <is>
          <t>Precio − costo completo</t>
        </is>
      </c>
      <c r="B21">
        <f>B12-B20</f>
        <v/>
      </c>
      <c r="C21">
        <f>C12-C20</f>
        <v/>
      </c>
      <c r="D21">
        <f>D12-D20</f>
        <v/>
      </c>
      <c r="E21">
        <f>E12-E20</f>
        <v/>
      </c>
      <c r="F21">
        <f>F12-F20</f>
        <v/>
      </c>
    </row>
    <row r="22">
      <c r="A22" t="inlineStr">
        <is>
          <t>CIF fijo por prenda (unidades)</t>
        </is>
      </c>
      <c r="B22">
        <f>B17</f>
        <v/>
      </c>
      <c r="C22">
        <f>B17</f>
        <v/>
      </c>
      <c r="D22">
        <f>B17</f>
        <v/>
      </c>
      <c r="E22">
        <f>B17</f>
        <v/>
      </c>
      <c r="F22">
        <f>B17</f>
        <v/>
      </c>
    </row>
    <row r="23">
      <c r="A23" t="inlineStr">
        <is>
          <t>Diferencia unidades − segundos</t>
        </is>
      </c>
      <c r="B23">
        <f>B22-B19</f>
        <v/>
      </c>
      <c r="C23">
        <f>C22-C19</f>
        <v/>
      </c>
      <c r="D23">
        <f>D22-D19</f>
        <v/>
      </c>
      <c r="E23">
        <f>E22-E19</f>
        <v/>
      </c>
      <c r="F23">
        <f>F22-F19</f>
        <v/>
      </c>
    </row>
    <row r="24">
      <c r="A24" t="inlineStr">
        <is>
          <t>CIF mal asignado en el mes</t>
        </is>
      </c>
      <c r="B24">
        <f>B23*B10</f>
        <v/>
      </c>
      <c r="C24">
        <f>C23*C10</f>
        <v/>
      </c>
      <c r="D24">
        <f>D23*D10</f>
        <v/>
      </c>
      <c r="E24">
        <f>E23*E10</f>
        <v/>
      </c>
      <c r="F24">
        <f>F23*F10</f>
        <v/>
      </c>
      <c r="G24">
        <f>SUM(B24:F24)</f>
        <v/>
      </c>
    </row>
    <row r="25">
      <c r="A25" t="inlineStr">
        <is>
          <t>Comprobación: CIF asignado por segundos</t>
        </is>
      </c>
      <c r="B25">
        <f>SUMPRODUCT(B19:F19,B10:F10)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2026-10-16T10:52:34Z</dcterms:created>
  <dcterms:modified xmlns:dcterms="http://purl.org/dc/terms/" xmlns:xsi="http://www.w3.org/2001/XMLSchema-instance" xsi:type="dcterms:W3CDTF">2026-10-16T10:52:34Z</dcterms:modified>
</cp:coreProperties>
</file>