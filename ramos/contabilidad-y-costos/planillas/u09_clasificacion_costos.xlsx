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tazas" sheetId="1" state="visible" r:id="rId1"/>
    <sheet xmlns:r="http://schemas.openxmlformats.org/officeDocument/2006/relationships" name="Gas del horno" sheetId="2" state="visible" r:id="rId2"/>
    <sheet xmlns:r="http://schemas.openxmlformats.org/officeDocument/2006/relationships" name="Caso Estampa S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Partida</t>
        </is>
      </c>
      <c r="B1" s="1" t="inlineStr">
        <is>
          <t>Pesos</t>
        </is>
      </c>
    </row>
    <row r="2">
      <c r="A2" t="inlineStr">
        <is>
          <t>Inventario inicial de materias primas</t>
        </is>
      </c>
      <c r="B2" s="2" t="n">
        <v>176500</v>
      </c>
    </row>
    <row r="3">
      <c r="A3" t="inlineStr">
        <is>
          <t>Compras de arcilla y esmalte (netas)</t>
        </is>
      </c>
      <c r="B3" s="2" t="n">
        <v>1341900</v>
      </c>
    </row>
    <row r="4">
      <c r="A4" t="inlineStr">
        <is>
          <t>Inventario final de materias primas</t>
        </is>
      </c>
      <c r="B4" s="2" t="n">
        <v>239980</v>
      </c>
    </row>
    <row r="5">
      <c r="A5" t="inlineStr">
        <is>
          <t>Materia prima directa usada</t>
        </is>
      </c>
      <c r="B5" s="2">
        <f>B2+B3-B4</f>
        <v/>
      </c>
    </row>
    <row r="6">
      <c r="A6" t="inlineStr">
        <is>
          <t>Mano de obra directa (a trato)</t>
        </is>
      </c>
      <c r="B6" s="2" t="n">
        <v>1893320</v>
      </c>
    </row>
    <row r="7">
      <c r="A7" t="inlineStr">
        <is>
          <t>Insumos de taller (MPI)</t>
        </is>
      </c>
      <c r="B7" s="2" t="n">
        <v>48620</v>
      </c>
    </row>
    <row r="8">
      <c r="A8" t="inlineStr">
        <is>
          <t>Supervisora (MOI)</t>
        </is>
      </c>
      <c r="B8" s="2" t="n">
        <v>684000</v>
      </c>
    </row>
    <row r="9">
      <c r="A9" t="inlineStr">
        <is>
          <t>Gas del horno</t>
        </is>
      </c>
      <c r="B9" s="2" t="n">
        <v>297300</v>
      </c>
    </row>
    <row r="10">
      <c r="A10" t="inlineStr">
        <is>
          <t>Depreciación del horno</t>
        </is>
      </c>
      <c r="B10" s="2" t="n">
        <v>118500</v>
      </c>
    </row>
    <row r="11">
      <c r="A11" t="inlineStr">
        <is>
          <t>Arriendo del taller</t>
        </is>
      </c>
      <c r="B11" s="2" t="n">
        <v>532000</v>
      </c>
    </row>
    <row r="12">
      <c r="A12" t="inlineStr">
        <is>
          <t>Mantención</t>
        </is>
      </c>
      <c r="B12" s="2" t="n">
        <v>36400</v>
      </c>
    </row>
    <row r="13">
      <c r="A13" t="inlineStr">
        <is>
          <t>Costos indirectos de fabricación</t>
        </is>
      </c>
      <c r="B13" s="2">
        <f>SUM(B7:B12)</f>
        <v/>
      </c>
    </row>
    <row r="14">
      <c r="A14" s="1" t="inlineStr">
        <is>
          <t>Costo de fabricación</t>
        </is>
      </c>
      <c r="B14" s="2">
        <f>B5+B6+B13</f>
        <v/>
      </c>
    </row>
    <row r="15">
      <c r="A15" t="inlineStr">
        <is>
          <t>Productos en proceso iniciales</t>
        </is>
      </c>
      <c r="B15" s="2" t="n">
        <v>206300</v>
      </c>
    </row>
    <row r="16">
      <c r="A16" t="inlineStr">
        <is>
          <t>Productos en proceso finales</t>
        </is>
      </c>
      <c r="B16" s="2" t="n">
        <v>204260</v>
      </c>
    </row>
    <row r="17">
      <c r="A17" s="1" t="inlineStr">
        <is>
          <t>Costo de lo producido</t>
        </is>
      </c>
      <c r="B17" s="2">
        <f>B14+B15-B16</f>
        <v/>
      </c>
    </row>
    <row r="18">
      <c r="A18" t="inlineStr">
        <is>
          <t>Tazas terminadas</t>
        </is>
      </c>
      <c r="B18" s="2" t="n">
        <v>2860</v>
      </c>
    </row>
    <row r="19">
      <c r="A19" t="inlineStr">
        <is>
          <t>Costo por taza terminada</t>
        </is>
      </c>
      <c r="B19" s="2">
        <f>B17/B18</f>
        <v/>
      </c>
    </row>
    <row r="20">
      <c r="A20" t="inlineStr">
        <is>
          <t>Tazas en bodega al inicio</t>
        </is>
      </c>
      <c r="B20" s="2" t="n">
        <v>230</v>
      </c>
    </row>
    <row r="21">
      <c r="A21" t="inlineStr">
        <is>
          <t>Productos terminados iniciales</t>
        </is>
      </c>
      <c r="B21" s="2">
        <f>B20*B19</f>
        <v/>
      </c>
    </row>
    <row r="22">
      <c r="A22" t="inlineStr">
        <is>
          <t>Tazas vendidas</t>
        </is>
      </c>
      <c r="B22" s="2" t="n">
        <v>2470</v>
      </c>
    </row>
    <row r="23">
      <c r="A23" t="inlineStr">
        <is>
          <t>Tazas en bodega al final</t>
        </is>
      </c>
      <c r="B23" s="2">
        <f>B20+B18-B22</f>
        <v/>
      </c>
    </row>
    <row r="24">
      <c r="A24" t="inlineStr">
        <is>
          <t>Productos terminados finales</t>
        </is>
      </c>
      <c r="B24" s="2">
        <f>B23*B19</f>
        <v/>
      </c>
    </row>
    <row r="25">
      <c r="A25" s="1" t="inlineStr">
        <is>
          <t>Costo de ventas</t>
        </is>
      </c>
      <c r="B25" s="2">
        <f>B17+B21-B24</f>
        <v/>
      </c>
    </row>
    <row r="26">
      <c r="A26" t="inlineStr">
        <is>
          <t>Precio de venta</t>
        </is>
      </c>
      <c r="B26" s="2" t="n">
        <v>3390</v>
      </c>
    </row>
    <row r="27">
      <c r="A27" t="inlineStr">
        <is>
          <t>Ventas</t>
        </is>
      </c>
      <c r="B27" s="2">
        <f>B22*B26</f>
        <v/>
      </c>
    </row>
    <row r="28">
      <c r="A28" t="inlineStr">
        <is>
          <t>Margen bruto</t>
        </is>
      </c>
      <c r="B28" s="2">
        <f>B27-B25</f>
        <v/>
      </c>
    </row>
    <row r="29">
      <c r="A29" t="inlineStr">
        <is>
          <t>Comisión de venta (4 %)</t>
        </is>
      </c>
      <c r="B29" s="2">
        <f>0.04*B27</f>
        <v/>
      </c>
    </row>
    <row r="30">
      <c r="A30" t="inlineStr">
        <is>
          <t>Sueldo administrativa</t>
        </is>
      </c>
      <c r="B30" s="2" t="n">
        <v>615000</v>
      </c>
    </row>
    <row r="31">
      <c r="A31" t="inlineStr">
        <is>
          <t>Publicidad</t>
        </is>
      </c>
      <c r="B31" s="2" t="n">
        <v>174000</v>
      </c>
    </row>
    <row r="32">
      <c r="A32" t="inlineStr">
        <is>
          <t>Arriendo de la tienda</t>
        </is>
      </c>
      <c r="B32" s="2" t="n">
        <v>163000</v>
      </c>
    </row>
    <row r="33">
      <c r="A33" t="inlineStr">
        <is>
          <t>Gastos de administración y ventas</t>
        </is>
      </c>
      <c r="B33" s="2">
        <f>SUM(B29:B32)</f>
        <v/>
      </c>
    </row>
    <row r="34">
      <c r="A34" s="1" t="inlineStr">
        <is>
          <t>Resultado operacional</t>
        </is>
      </c>
      <c r="B34" s="2">
        <f>B28-B33</f>
        <v/>
      </c>
    </row>
    <row r="35">
      <c r="A35" t="inlineStr">
        <is>
          <t>Costo primo</t>
        </is>
      </c>
      <c r="B35" s="2">
        <f>B5+B6</f>
        <v/>
      </c>
    </row>
    <row r="36">
      <c r="A36" t="inlineStr">
        <is>
          <t>Costo de conversión</t>
        </is>
      </c>
      <c r="B36" s="2">
        <f>B6+B13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5" max="5"/>
  </cols>
  <sheetData>
    <row r="1">
      <c r="A1" t="inlineStr">
        <is>
          <t>Mes</t>
        </is>
      </c>
      <c r="B1" t="inlineStr">
        <is>
          <t>Tazas</t>
        </is>
      </c>
      <c r="C1" t="inlineStr">
        <is>
          <t>Costo del gas</t>
        </is>
      </c>
      <c r="E1" t="inlineStr">
        <is>
          <t>Punto alto y punto bajo</t>
        </is>
      </c>
      <c r="F1" t="inlineStr"/>
    </row>
    <row r="2">
      <c r="A2" t="inlineStr">
        <is>
          <t>enero</t>
        </is>
      </c>
      <c r="B2" t="n">
        <v>2140</v>
      </c>
      <c r="C2" t="n">
        <v>253700</v>
      </c>
      <c r="E2" t="inlineStr">
        <is>
          <t>Variable por taza (b)</t>
        </is>
      </c>
      <c r="F2">
        <f>(C5-C3)/(B5-B3)</f>
        <v/>
      </c>
    </row>
    <row r="3">
      <c r="A3" t="inlineStr">
        <is>
          <t>febrero</t>
        </is>
      </c>
      <c r="B3" t="n">
        <v>1730</v>
      </c>
      <c r="C3" t="n">
        <v>227340</v>
      </c>
      <c r="E3" t="inlineStr">
        <is>
          <t>Fijo del mes (a)</t>
        </is>
      </c>
      <c r="F3">
        <f>C5-F2*B5</f>
        <v/>
      </c>
    </row>
    <row r="4">
      <c r="A4" t="inlineStr">
        <is>
          <t>marzo</t>
        </is>
      </c>
      <c r="B4" t="n">
        <v>2580</v>
      </c>
      <c r="C4" t="n">
        <v>279900</v>
      </c>
      <c r="E4" t="inlineStr">
        <is>
          <t>Regresión: pendiente</t>
        </is>
      </c>
      <c r="F4">
        <f>SLOPE(C2:C6,B2:B6)</f>
        <v/>
      </c>
    </row>
    <row r="5">
      <c r="A5" t="inlineStr">
        <is>
          <t>abril</t>
        </is>
      </c>
      <c r="B5" t="n">
        <v>3310</v>
      </c>
      <c r="C5" t="n">
        <v>318980</v>
      </c>
      <c r="E5" t="inlineStr">
        <is>
          <t>Regresión: intercepto</t>
        </is>
      </c>
      <c r="F5">
        <f>INTERCEPT(C2:C6,B2:B6)</f>
        <v/>
      </c>
    </row>
    <row r="6">
      <c r="A6" t="inlineStr">
        <is>
          <t>mayo</t>
        </is>
      </c>
      <c r="B6" t="n">
        <v>2860</v>
      </c>
      <c r="C6" t="n">
        <v>297300</v>
      </c>
      <c r="E6" t="inlineStr">
        <is>
          <t>Gas esperado en mayo (alto-bajo)</t>
        </is>
      </c>
      <c r="F6">
        <f>F3+F2*B6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12" max="12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Margen</t>
        </is>
      </c>
      <c r="D1" t="inlineStr">
        <is>
          <t>Costo variable</t>
        </is>
      </c>
      <c r="E1" t="inlineStr">
        <is>
          <t>Prenda lisa</t>
        </is>
      </c>
      <c r="F1" t="inlineStr">
        <is>
          <t>Tinta (g)</t>
        </is>
      </c>
      <c r="G1" t="inlineStr">
        <is>
          <t>Tinta ($)</t>
        </is>
      </c>
      <c r="H1" t="inlineStr">
        <is>
          <t>Otros variables</t>
        </is>
      </c>
      <c r="I1" t="inlineStr">
        <is>
          <t>Producidas</t>
        </is>
      </c>
      <c r="J1" t="inlineStr">
        <is>
          <t>Costo variable del mes</t>
        </is>
      </c>
      <c r="L1" t="inlineStr">
        <is>
          <t>CIF fijos de marzo</t>
        </is>
      </c>
      <c r="M1" t="inlineStr"/>
    </row>
    <row r="2">
      <c r="A2" t="inlineStr">
        <is>
          <t>Poleras básicas</t>
        </is>
      </c>
      <c r="B2" s="3" t="n">
        <v>3990</v>
      </c>
      <c r="C2" s="3" t="n">
        <v>1380</v>
      </c>
      <c r="D2" s="3">
        <f>B2-C2</f>
        <v/>
      </c>
      <c r="E2" s="3" t="n">
        <v>2400</v>
      </c>
      <c r="F2" s="3" t="n">
        <v>12</v>
      </c>
      <c r="G2" s="3">
        <f>F2*16500/1000</f>
        <v/>
      </c>
      <c r="H2" s="3">
        <f>D2-E2-G2</f>
        <v/>
      </c>
      <c r="I2" s="3" t="n">
        <v>2236</v>
      </c>
      <c r="J2" s="3">
        <f>I2*D2</f>
        <v/>
      </c>
      <c r="L2" t="inlineStr">
        <is>
          <t>Sueldos</t>
        </is>
      </c>
      <c r="M2" s="3" t="n">
        <v>2880000</v>
      </c>
    </row>
    <row r="3">
      <c r="A3" t="inlineStr">
        <is>
          <t>Polerones</t>
        </is>
      </c>
      <c r="B3" s="3" t="n">
        <v>9890</v>
      </c>
      <c r="C3" s="3" t="n">
        <v>3940</v>
      </c>
      <c r="D3" s="3">
        <f>B3-C3</f>
        <v/>
      </c>
      <c r="E3" s="3" t="n">
        <v>5400</v>
      </c>
      <c r="F3" s="3" t="n">
        <v>25</v>
      </c>
      <c r="G3" s="3">
        <f>F3*16500/1000</f>
        <v/>
      </c>
      <c r="H3" s="3">
        <f>D3-E3-G3</f>
        <v/>
      </c>
      <c r="I3" s="3" t="n">
        <v>839</v>
      </c>
      <c r="J3" s="3">
        <f>I3*D3</f>
        <v/>
      </c>
      <c r="L3" t="inlineStr">
        <is>
          <t>Depreciación de las dos máquinas</t>
        </is>
      </c>
      <c r="M3" s="3">
        <f>9840000/96+(14300000-1800000)/60</f>
        <v/>
      </c>
    </row>
    <row r="4">
      <c r="A4" t="inlineStr">
        <is>
          <t>Poleras estampado doble</t>
        </is>
      </c>
      <c r="B4" s="3" t="n">
        <v>6290</v>
      </c>
      <c r="C4" s="3" t="n">
        <v>2270</v>
      </c>
      <c r="D4" s="3">
        <f>B4-C4</f>
        <v/>
      </c>
      <c r="E4" s="3" t="n">
        <v>3600</v>
      </c>
      <c r="F4" s="3" t="n">
        <v>22</v>
      </c>
      <c r="G4" s="3">
        <f>F4*16500/1000</f>
        <v/>
      </c>
      <c r="H4" s="3">
        <f>D4-E4-G4</f>
        <v/>
      </c>
      <c r="I4" s="3" t="n">
        <v>838</v>
      </c>
      <c r="J4" s="3">
        <f>I4*D4</f>
        <v/>
      </c>
      <c r="L4" t="inlineStr">
        <is>
          <t>Seguro (un mes)</t>
        </is>
      </c>
      <c r="M4" s="3">
        <f>948000/12</f>
        <v/>
      </c>
    </row>
    <row r="5">
      <c r="A5" t="inlineStr">
        <is>
          <t>Bolsas</t>
        </is>
      </c>
      <c r="B5" s="3" t="n">
        <v>2490</v>
      </c>
      <c r="C5" s="3" t="n">
        <v>960</v>
      </c>
      <c r="D5" s="3">
        <f>B5-C5</f>
        <v/>
      </c>
      <c r="E5" s="3" t="n">
        <v>1350</v>
      </c>
      <c r="F5" s="3" t="n">
        <v>8</v>
      </c>
      <c r="G5" s="3">
        <f>F5*16500/1000</f>
        <v/>
      </c>
      <c r="H5" s="3">
        <f>D5-E5-G5</f>
        <v/>
      </c>
      <c r="I5" s="3" t="n">
        <v>1006</v>
      </c>
      <c r="J5" s="3">
        <f>I5*D5</f>
        <v/>
      </c>
      <c r="L5" t="inlineStr">
        <is>
          <t>Arriendo de marzo</t>
        </is>
      </c>
      <c r="M5" s="3" t="n">
        <v>580000</v>
      </c>
    </row>
    <row r="6">
      <c r="A6" t="inlineStr">
        <is>
          <t>Gorros</t>
        </is>
      </c>
      <c r="B6" s="3" t="n">
        <v>3190</v>
      </c>
      <c r="C6" s="3" t="n">
        <v>1170</v>
      </c>
      <c r="D6" s="3">
        <f>B6-C6</f>
        <v/>
      </c>
      <c r="E6" s="3" t="n">
        <v>1880</v>
      </c>
      <c r="F6" s="3" t="n">
        <v>6</v>
      </c>
      <c r="G6" s="3">
        <f>F6*16500/1000</f>
        <v/>
      </c>
      <c r="H6" s="3">
        <f>D6-E6-G6</f>
        <v/>
      </c>
      <c r="I6" s="3" t="n">
        <v>671</v>
      </c>
      <c r="J6" s="3">
        <f>I6*D6</f>
        <v/>
      </c>
      <c r="L6" t="inlineStr">
        <is>
          <t>Total CIF fijos</t>
        </is>
      </c>
      <c r="M6" s="3">
        <f>SUM(M2:M5)</f>
        <v/>
      </c>
    </row>
    <row r="7">
      <c r="L7" t="inlineStr">
        <is>
          <t>Costo variable de fabricación</t>
        </is>
      </c>
      <c r="M7" s="3">
        <f>SUM(J2:J6)</f>
        <v/>
      </c>
    </row>
    <row r="8">
      <c r="L8" t="inlineStr">
        <is>
          <t>Costo de lo producido en marzo</t>
        </is>
      </c>
      <c r="M8" s="3">
        <f>M6+M7</f>
        <v/>
      </c>
    </row>
    <row r="9">
      <c r="L9" t="inlineStr">
        <is>
          <t>Gastos de administración (período)</t>
        </is>
      </c>
      <c r="M9" s="3" t="n">
        <v>436000</v>
      </c>
    </row>
    <row r="10">
      <c r="L10" t="inlineStr">
        <is>
          <t>Prendas lisas consumidas</t>
        </is>
      </c>
      <c r="M10" s="3">
        <f>SUMPRODUCT(E2:E6,I2:I6)</f>
        <v/>
      </c>
    </row>
    <row r="11">
      <c r="L11" t="inlineStr">
        <is>
          <t>Tinta consumida</t>
        </is>
      </c>
      <c r="M11" s="3">
        <f>SUMPRODUCT(G2:G6,I2:I6)</f>
        <v/>
      </c>
    </row>
    <row r="12">
      <c r="L12" t="inlineStr">
        <is>
          <t>Otros variables consumidos</t>
        </is>
      </c>
      <c r="M12" s="3">
        <f>SUMPRODUCT(H2:H6,I2:I6)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2026-10-16T10:52:33Z</dcterms:created>
  <dcterms:modified xmlns:dcterms="http://purl.org/dc/terms/" xmlns:xsi="http://www.w3.org/2001/XMLSchema-instance" xsi:type="dcterms:W3CDTF">2026-10-16T10:52:33Z</dcterms:modified>
</cp:coreProperties>
</file>