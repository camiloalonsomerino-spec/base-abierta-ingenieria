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 poleras FIFO" sheetId="1" state="visible" r:id="rId1"/>
    <sheet xmlns:r="http://schemas.openxmlformats.org/officeDocument/2006/relationships" name="Caso poleras PPP" sheetId="2" state="visible" r:id="rId2"/>
    <sheet xmlns:r="http://schemas.openxmlformats.org/officeDocument/2006/relationships" name="Ejemplo cascos FIFO" sheetId="3" state="visible" r:id="rId3"/>
    <sheet xmlns:r="http://schemas.openxmlformats.org/officeDocument/2006/relationships" name="Ejemplo cascos PPP" sheetId="4" state="visible" r:id="rId4"/>
    <sheet xmlns:r="http://schemas.openxmlformats.org/officeDocument/2006/relationships" name="Ejercicio 7.5 PPP" sheetId="5" state="visible" r:id="rId5"/>
    <sheet xmlns:r="http://schemas.openxmlformats.org/officeDocument/2006/relationships" name="Ejercicio 7.10 FI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2" customWidth="1" min="5" max="5"/>
    <col width="13" customWidth="1" min="6" max="6"/>
    <col width="9" customWidth="1" min="7" max="7"/>
    <col width="12" customWidth="1" min="8" max="8"/>
    <col width="13" customWidth="1" min="9" max="9"/>
    <col width="9" customWidth="1" min="10" max="10"/>
    <col width="13" customWidth="1" min="11" max="11"/>
    <col width="11" customWidth="1" min="12" max="12"/>
  </cols>
  <sheetData>
    <row r="1">
      <c r="A1" s="1" t="inlineStr">
        <is>
          <t>Caso poleras FIFO · FIFO</t>
        </is>
      </c>
    </row>
    <row r="2">
      <c r="A2" s="1" t="inlineStr">
        <is>
          <t>Fecha</t>
        </is>
      </c>
      <c r="B2" s="1" t="inlineStr">
        <is>
          <t>Movimiento</t>
        </is>
      </c>
      <c r="C2" s="1" t="inlineStr">
        <is>
          <t>Lote</t>
        </is>
      </c>
      <c r="D2" s="1" t="inlineStr">
        <is>
          <t>Entra u</t>
        </is>
      </c>
      <c r="E2" s="1" t="inlineStr">
        <is>
          <t>Entra precio</t>
        </is>
      </c>
      <c r="F2" s="1" t="inlineStr">
        <is>
          <t>Entra $</t>
        </is>
      </c>
      <c r="G2" s="1" t="inlineStr">
        <is>
          <t>Sale u</t>
        </is>
      </c>
      <c r="H2" s="1" t="inlineStr">
        <is>
          <t>Sale precio</t>
        </is>
      </c>
      <c r="I2" s="1" t="inlineStr">
        <is>
          <t>Sale $</t>
        </is>
      </c>
      <c r="J2" s="1" t="inlineStr">
        <is>
          <t>Saldo u</t>
        </is>
      </c>
      <c r="K2" s="1" t="inlineStr">
        <is>
          <t>Saldo $</t>
        </is>
      </c>
    </row>
    <row r="3">
      <c r="A3" t="inlineStr">
        <is>
          <t>1 de marzo</t>
        </is>
      </c>
      <c r="B3" t="inlineStr">
        <is>
          <t>Saldo inicial</t>
        </is>
      </c>
      <c r="C3" t="inlineStr">
        <is>
          <t>2.400</t>
        </is>
      </c>
      <c r="D3" s="2" t="n">
        <v>900</v>
      </c>
      <c r="E3" s="2" t="n">
        <v>2400</v>
      </c>
      <c r="F3" s="2">
        <f>D3*E3</f>
        <v/>
      </c>
      <c r="G3" s="2" t="n"/>
      <c r="H3" s="2" t="n"/>
      <c r="I3" s="2" t="n"/>
      <c r="J3" s="2">
        <f>D3-G3</f>
        <v/>
      </c>
      <c r="K3" s="2">
        <f>F3-I3</f>
        <v/>
      </c>
    </row>
    <row r="4">
      <c r="A4" t="inlineStr">
        <is>
          <t>semana 1</t>
        </is>
      </c>
      <c r="B4" t="inlineStr">
        <is>
          <t>Compra</t>
        </is>
      </c>
      <c r="C4" t="inlineStr">
        <is>
          <t>2.450</t>
        </is>
      </c>
      <c r="D4" s="2" t="n">
        <v>2100</v>
      </c>
      <c r="E4" s="2" t="n">
        <v>2450</v>
      </c>
      <c r="F4" s="2">
        <f>D4*E4</f>
        <v/>
      </c>
      <c r="G4" s="2" t="n"/>
      <c r="H4" s="2" t="n"/>
      <c r="I4" s="2" t="n"/>
      <c r="J4" s="2">
        <f>J3+D4-G4</f>
        <v/>
      </c>
      <c r="K4" s="2">
        <f>K3+F4-I4</f>
        <v/>
      </c>
    </row>
    <row r="5">
      <c r="A5" t="inlineStr">
        <is>
          <t>semana 2</t>
        </is>
      </c>
      <c r="B5" t="inlineStr">
        <is>
          <t>Consumo</t>
        </is>
      </c>
      <c r="C5" t="inlineStr">
        <is>
          <t>2.400</t>
        </is>
      </c>
      <c r="D5" s="2" t="n"/>
      <c r="E5" s="2" t="n"/>
      <c r="F5" s="2" t="n"/>
      <c r="G5" s="2" t="n">
        <v>900</v>
      </c>
      <c r="H5" s="2">
        <f>E3</f>
        <v/>
      </c>
      <c r="I5" s="2">
        <f>G5*H5</f>
        <v/>
      </c>
      <c r="J5" s="2">
        <f>J4+D5-G5</f>
        <v/>
      </c>
      <c r="K5" s="2">
        <f>K4+F5-I5</f>
        <v/>
      </c>
    </row>
    <row r="6">
      <c r="A6" t="inlineStr">
        <is>
          <t>semana 2</t>
        </is>
      </c>
      <c r="B6" t="inlineStr">
        <is>
          <t>Consumo</t>
        </is>
      </c>
      <c r="C6" t="inlineStr">
        <is>
          <t>2.450</t>
        </is>
      </c>
      <c r="D6" s="2" t="n"/>
      <c r="E6" s="2" t="n"/>
      <c r="F6" s="2" t="n"/>
      <c r="G6" s="2" t="n">
        <v>200</v>
      </c>
      <c r="H6" s="2">
        <f>E4</f>
        <v/>
      </c>
      <c r="I6" s="2">
        <f>G6*H6</f>
        <v/>
      </c>
      <c r="J6" s="2">
        <f>J5+D6-G6</f>
        <v/>
      </c>
      <c r="K6" s="2">
        <f>K5+F6-I6</f>
        <v/>
      </c>
    </row>
    <row r="7">
      <c r="A7" t="inlineStr">
        <is>
          <t>semana 4</t>
        </is>
      </c>
      <c r="B7" t="inlineStr">
        <is>
          <t>Consumo</t>
        </is>
      </c>
      <c r="C7" t="inlineStr">
        <is>
          <t>2.450</t>
        </is>
      </c>
      <c r="D7" s="2" t="n"/>
      <c r="E7" s="2" t="n"/>
      <c r="F7" s="2" t="n"/>
      <c r="G7" s="2" t="n">
        <v>1136</v>
      </c>
      <c r="H7" s="2">
        <f>E4</f>
        <v/>
      </c>
      <c r="I7" s="2">
        <f>G7*H7</f>
        <v/>
      </c>
      <c r="J7" s="2">
        <f>J6+D7-G7</f>
        <v/>
      </c>
      <c r="K7" s="2">
        <f>K6+F7-I7</f>
        <v/>
      </c>
    </row>
    <row r="8"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B9" t="inlineStr">
        <is>
          <t>Costo de ventas</t>
        </is>
      </c>
      <c r="D9" s="2" t="n"/>
      <c r="E9" s="2" t="n"/>
      <c r="F9" s="2" t="n"/>
      <c r="G9" s="2" t="n"/>
      <c r="H9" s="2" t="n"/>
      <c r="I9" s="2" t="n"/>
      <c r="J9" s="2" t="n"/>
      <c r="K9" s="2">
        <f>I5+I6+I7-(0)</f>
        <v/>
      </c>
    </row>
    <row r="10">
      <c r="B10" t="inlineStr">
        <is>
          <t>Merma</t>
        </is>
      </c>
      <c r="D10" s="2" t="n"/>
      <c r="E10" s="2" t="n"/>
      <c r="F10" s="2" t="n"/>
      <c r="G10" s="2" t="n"/>
      <c r="H10" s="2" t="n"/>
      <c r="I10" s="2" t="n"/>
      <c r="J10" s="2" t="n"/>
      <c r="K10" s="2">
        <f>0</f>
        <v/>
      </c>
    </row>
    <row r="11">
      <c r="B11" t="inlineStr">
        <is>
          <t>Saldo final</t>
        </is>
      </c>
      <c r="D11" s="2" t="n"/>
      <c r="E11" s="2" t="n"/>
      <c r="F11" s="2" t="n"/>
      <c r="G11" s="2" t="n"/>
      <c r="H11" s="2" t="n"/>
      <c r="I11" s="2" t="n"/>
      <c r="J11" s="2" t="n"/>
      <c r="K11" s="2">
        <f>K7</f>
        <v/>
      </c>
    </row>
    <row r="13">
      <c r="B13" t="inlineStr">
        <is>
          <t>Consumo (u)</t>
        </is>
      </c>
      <c r="K13" s="2" t="n">
        <v>2236</v>
      </c>
    </row>
    <row r="14">
      <c r="B14" t="inlineStr">
        <is>
          <t>Costo estándar ($2.400)</t>
        </is>
      </c>
      <c r="K14" s="2">
        <f>K13*2400</f>
        <v/>
      </c>
    </row>
    <row r="15">
      <c r="B15" s="1" t="inlineStr">
        <is>
          <t>Variación de precio</t>
        </is>
      </c>
      <c r="K15" s="2">
        <f>K9-K14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2" customWidth="1" min="5" max="5"/>
    <col width="13" customWidth="1" min="6" max="6"/>
    <col width="9" customWidth="1" min="7" max="7"/>
    <col width="12" customWidth="1" min="8" max="8"/>
    <col width="13" customWidth="1" min="9" max="9"/>
    <col width="9" customWidth="1" min="10" max="10"/>
    <col width="13" customWidth="1" min="11" max="11"/>
    <col width="11" customWidth="1" min="12" max="12"/>
  </cols>
  <sheetData>
    <row r="1">
      <c r="A1" s="1" t="inlineStr">
        <is>
          <t>Caso poleras PPP · precio promedio ponderado</t>
        </is>
      </c>
    </row>
    <row r="2">
      <c r="A2" s="1" t="inlineStr">
        <is>
          <t>Fecha</t>
        </is>
      </c>
      <c r="B2" s="1" t="inlineStr">
        <is>
          <t>Movimiento</t>
        </is>
      </c>
      <c r="C2" s="1" t="inlineStr">
        <is>
          <t>Lote</t>
        </is>
      </c>
      <c r="D2" s="1" t="inlineStr">
        <is>
          <t>Entra u</t>
        </is>
      </c>
      <c r="E2" s="1" t="inlineStr">
        <is>
          <t>Entra precio</t>
        </is>
      </c>
      <c r="F2" s="1" t="inlineStr">
        <is>
          <t>Entra $</t>
        </is>
      </c>
      <c r="G2" s="1" t="inlineStr">
        <is>
          <t>Sale u</t>
        </is>
      </c>
      <c r="H2" s="1" t="inlineStr">
        <is>
          <t>Sale precio</t>
        </is>
      </c>
      <c r="I2" s="1" t="inlineStr">
        <is>
          <t>Sale $</t>
        </is>
      </c>
      <c r="J2" s="1" t="inlineStr">
        <is>
          <t>Saldo u</t>
        </is>
      </c>
      <c r="K2" s="1" t="inlineStr">
        <is>
          <t>Saldo $</t>
        </is>
      </c>
      <c r="L2" s="1" t="inlineStr">
        <is>
          <t>Promedio</t>
        </is>
      </c>
    </row>
    <row r="3">
      <c r="A3" t="inlineStr">
        <is>
          <t>1 de marzo</t>
        </is>
      </c>
      <c r="B3" t="inlineStr">
        <is>
          <t>Saldo inicial</t>
        </is>
      </c>
      <c r="C3" t="inlineStr"/>
      <c r="D3" s="2" t="n">
        <v>900</v>
      </c>
      <c r="E3" s="2" t="n">
        <v>2400</v>
      </c>
      <c r="F3" s="2">
        <f>D3*E3</f>
        <v/>
      </c>
      <c r="G3" s="2" t="n"/>
      <c r="H3" s="2" t="n"/>
      <c r="I3" s="2" t="n"/>
      <c r="J3" s="2">
        <f>D3-G3</f>
        <v/>
      </c>
      <c r="K3" s="2">
        <f>F3-I3</f>
        <v/>
      </c>
      <c r="L3" s="2">
        <f>K3/J3</f>
        <v/>
      </c>
    </row>
    <row r="4">
      <c r="A4" t="inlineStr">
        <is>
          <t>semana 1</t>
        </is>
      </c>
      <c r="B4" t="inlineStr">
        <is>
          <t>Compra</t>
        </is>
      </c>
      <c r="C4" t="inlineStr"/>
      <c r="D4" s="2" t="n">
        <v>2100</v>
      </c>
      <c r="E4" s="2" t="n">
        <v>2450</v>
      </c>
      <c r="F4" s="2">
        <f>D4*E4</f>
        <v/>
      </c>
      <c r="G4" s="2" t="n"/>
      <c r="H4" s="2" t="n"/>
      <c r="I4" s="2" t="n"/>
      <c r="J4" s="2">
        <f>J3+D4-G4</f>
        <v/>
      </c>
      <c r="K4" s="2">
        <f>K3+F4-I4</f>
        <v/>
      </c>
      <c r="L4" s="2">
        <f>K4/J4</f>
        <v/>
      </c>
    </row>
    <row r="5">
      <c r="A5" t="inlineStr">
        <is>
          <t>semana 2</t>
        </is>
      </c>
      <c r="B5" t="inlineStr">
        <is>
          <t>Consumo</t>
        </is>
      </c>
      <c r="C5" t="inlineStr"/>
      <c r="D5" s="2" t="n"/>
      <c r="E5" s="2" t="n"/>
      <c r="F5" s="2" t="n"/>
      <c r="G5" s="2" t="n">
        <v>1100</v>
      </c>
      <c r="H5" s="2">
        <f>L4</f>
        <v/>
      </c>
      <c r="I5" s="2">
        <f>G5*H5</f>
        <v/>
      </c>
      <c r="J5" s="2">
        <f>J4+D5-G5</f>
        <v/>
      </c>
      <c r="K5" s="2">
        <f>K4+F5-I5</f>
        <v/>
      </c>
      <c r="L5" s="2">
        <f>K5/J5</f>
        <v/>
      </c>
    </row>
    <row r="6">
      <c r="A6" t="inlineStr">
        <is>
          <t>semana 4</t>
        </is>
      </c>
      <c r="B6" t="inlineStr">
        <is>
          <t>Consumo</t>
        </is>
      </c>
      <c r="C6" t="inlineStr"/>
      <c r="D6" s="2" t="n"/>
      <c r="E6" s="2" t="n"/>
      <c r="F6" s="2" t="n"/>
      <c r="G6" s="2" t="n">
        <v>1136</v>
      </c>
      <c r="H6" s="2">
        <f>L5</f>
        <v/>
      </c>
      <c r="I6" s="2">
        <f>G6*H6</f>
        <v/>
      </c>
      <c r="J6" s="2">
        <f>J5+D6-G6</f>
        <v/>
      </c>
      <c r="K6" s="2">
        <f>K5+F6-I6</f>
        <v/>
      </c>
      <c r="L6" s="2">
        <f>K6/J6</f>
        <v/>
      </c>
    </row>
    <row r="7"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B8" t="inlineStr">
        <is>
          <t>Costo de ventas</t>
        </is>
      </c>
      <c r="D8" s="2" t="n"/>
      <c r="E8" s="2" t="n"/>
      <c r="F8" s="2" t="n"/>
      <c r="G8" s="2" t="n"/>
      <c r="H8" s="2" t="n"/>
      <c r="I8" s="2" t="n"/>
      <c r="J8" s="2" t="n"/>
      <c r="K8" s="2">
        <f>I5+I6-(0)</f>
        <v/>
      </c>
      <c r="L8" s="2" t="n"/>
    </row>
    <row r="9">
      <c r="B9" t="inlineStr">
        <is>
          <t>Merma</t>
        </is>
      </c>
      <c r="D9" s="2" t="n"/>
      <c r="E9" s="2" t="n"/>
      <c r="F9" s="2" t="n"/>
      <c r="G9" s="2" t="n"/>
      <c r="H9" s="2" t="n"/>
      <c r="I9" s="2" t="n"/>
      <c r="J9" s="2" t="n"/>
      <c r="K9" s="2">
        <f>0</f>
        <v/>
      </c>
      <c r="L9" s="2" t="n"/>
    </row>
    <row r="10">
      <c r="B10" t="inlineStr">
        <is>
          <t>Saldo final</t>
        </is>
      </c>
      <c r="D10" s="2" t="n"/>
      <c r="E10" s="2" t="n"/>
      <c r="F10" s="2" t="n"/>
      <c r="G10" s="2" t="n"/>
      <c r="H10" s="2" t="n"/>
      <c r="I10" s="2" t="n"/>
      <c r="J10" s="2" t="n"/>
      <c r="K10" s="2">
        <f>K6</f>
        <v/>
      </c>
      <c r="L10" s="2" t="n"/>
    </row>
    <row r="12">
      <c r="B12" t="inlineStr">
        <is>
          <t>Consumo (u)</t>
        </is>
      </c>
      <c r="K12" s="2" t="n">
        <v>2236</v>
      </c>
    </row>
    <row r="13">
      <c r="B13" t="inlineStr">
        <is>
          <t>Costo estándar ($2.400)</t>
        </is>
      </c>
      <c r="K13" s="2">
        <f>K12*2400</f>
        <v/>
      </c>
    </row>
    <row r="14">
      <c r="B14" s="1" t="inlineStr">
        <is>
          <t>Variación de precio</t>
        </is>
      </c>
      <c r="K14" s="2">
        <f>K8-K13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2" customWidth="1" min="5" max="5"/>
    <col width="13" customWidth="1" min="6" max="6"/>
    <col width="9" customWidth="1" min="7" max="7"/>
    <col width="12" customWidth="1" min="8" max="8"/>
    <col width="13" customWidth="1" min="9" max="9"/>
    <col width="9" customWidth="1" min="10" max="10"/>
    <col width="13" customWidth="1" min="11" max="11"/>
    <col width="11" customWidth="1" min="12" max="12"/>
  </cols>
  <sheetData>
    <row r="1">
      <c r="A1" s="1" t="inlineStr">
        <is>
          <t>Ejemplo cascos FIFO · FIFO</t>
        </is>
      </c>
    </row>
    <row r="2">
      <c r="A2" s="1" t="inlineStr">
        <is>
          <t>Fecha</t>
        </is>
      </c>
      <c r="B2" s="1" t="inlineStr">
        <is>
          <t>Movimiento</t>
        </is>
      </c>
      <c r="C2" s="1" t="inlineStr">
        <is>
          <t>Lote</t>
        </is>
      </c>
      <c r="D2" s="1" t="inlineStr">
        <is>
          <t>Entra u</t>
        </is>
      </c>
      <c r="E2" s="1" t="inlineStr">
        <is>
          <t>Entra precio</t>
        </is>
      </c>
      <c r="F2" s="1" t="inlineStr">
        <is>
          <t>Entra $</t>
        </is>
      </c>
      <c r="G2" s="1" t="inlineStr">
        <is>
          <t>Sale u</t>
        </is>
      </c>
      <c r="H2" s="1" t="inlineStr">
        <is>
          <t>Sale precio</t>
        </is>
      </c>
      <c r="I2" s="1" t="inlineStr">
        <is>
          <t>Sale $</t>
        </is>
      </c>
      <c r="J2" s="1" t="inlineStr">
        <is>
          <t>Saldo u</t>
        </is>
      </c>
      <c r="K2" s="1" t="inlineStr">
        <is>
          <t>Saldo $</t>
        </is>
      </c>
    </row>
    <row r="3">
      <c r="A3" t="inlineStr">
        <is>
          <t>01-05-2026</t>
        </is>
      </c>
      <c r="B3" t="inlineStr">
        <is>
          <t>Saldo inicial</t>
        </is>
      </c>
      <c r="C3" t="inlineStr">
        <is>
          <t>18.500</t>
        </is>
      </c>
      <c r="D3" s="2" t="n">
        <v>40</v>
      </c>
      <c r="E3" s="2" t="n">
        <v>18500</v>
      </c>
      <c r="F3" s="2">
        <f>D3*E3</f>
        <v/>
      </c>
      <c r="G3" s="2" t="n"/>
      <c r="H3" s="2" t="n"/>
      <c r="I3" s="2" t="n"/>
      <c r="J3" s="2">
        <f>D3-G3</f>
        <v/>
      </c>
      <c r="K3" s="2">
        <f>F3-I3</f>
        <v/>
      </c>
    </row>
    <row r="4">
      <c r="A4" t="inlineStr">
        <is>
          <t>06-05-2026</t>
        </is>
      </c>
      <c r="B4" t="inlineStr">
        <is>
          <t>Compra</t>
        </is>
      </c>
      <c r="C4" t="inlineStr">
        <is>
          <t>19.700</t>
        </is>
      </c>
      <c r="D4" s="2" t="n">
        <v>60</v>
      </c>
      <c r="E4" s="2" t="n">
        <v>19700</v>
      </c>
      <c r="F4" s="2">
        <f>D4*E4</f>
        <v/>
      </c>
      <c r="G4" s="2" t="n"/>
      <c r="H4" s="2" t="n"/>
      <c r="I4" s="2" t="n"/>
      <c r="J4" s="2">
        <f>J3+D4-G4</f>
        <v/>
      </c>
      <c r="K4" s="2">
        <f>K3+F4-I4</f>
        <v/>
      </c>
    </row>
    <row r="5">
      <c r="A5" t="inlineStr">
        <is>
          <t>12-05-2026</t>
        </is>
      </c>
      <c r="B5" t="inlineStr">
        <is>
          <t>Venta</t>
        </is>
      </c>
      <c r="C5" t="inlineStr">
        <is>
          <t>18.500</t>
        </is>
      </c>
      <c r="D5" s="2" t="n"/>
      <c r="E5" s="2" t="n"/>
      <c r="F5" s="2" t="n"/>
      <c r="G5" s="2" t="n">
        <v>40</v>
      </c>
      <c r="H5" s="2">
        <f>E3</f>
        <v/>
      </c>
      <c r="I5" s="2">
        <f>G5*H5</f>
        <v/>
      </c>
      <c r="J5" s="2">
        <f>J4+D5-G5</f>
        <v/>
      </c>
      <c r="K5" s="2">
        <f>K4+F5-I5</f>
        <v/>
      </c>
    </row>
    <row r="6">
      <c r="A6" t="inlineStr">
        <is>
          <t>12-05-2026</t>
        </is>
      </c>
      <c r="B6" t="inlineStr">
        <is>
          <t>Venta</t>
        </is>
      </c>
      <c r="C6" t="inlineStr">
        <is>
          <t>19.700</t>
        </is>
      </c>
      <c r="D6" s="2" t="n"/>
      <c r="E6" s="2" t="n"/>
      <c r="F6" s="2" t="n"/>
      <c r="G6" s="2" t="n">
        <v>30</v>
      </c>
      <c r="H6" s="2">
        <f>E4</f>
        <v/>
      </c>
      <c r="I6" s="2">
        <f>G6*H6</f>
        <v/>
      </c>
      <c r="J6" s="2">
        <f>J5+D6-G6</f>
        <v/>
      </c>
      <c r="K6" s="2">
        <f>K5+F6-I6</f>
        <v/>
      </c>
    </row>
    <row r="7">
      <c r="A7" t="inlineStr">
        <is>
          <t>20-05-2026</t>
        </is>
      </c>
      <c r="B7" t="inlineStr">
        <is>
          <t>Compra</t>
        </is>
      </c>
      <c r="C7" t="inlineStr">
        <is>
          <t>20.300</t>
        </is>
      </c>
      <c r="D7" s="2" t="n">
        <v>50</v>
      </c>
      <c r="E7" s="2" t="n">
        <v>20300</v>
      </c>
      <c r="F7" s="2">
        <f>D7*E7</f>
        <v/>
      </c>
      <c r="G7" s="2" t="n"/>
      <c r="H7" s="2" t="n"/>
      <c r="I7" s="2" t="n"/>
      <c r="J7" s="2">
        <f>J6+D7-G7</f>
        <v/>
      </c>
      <c r="K7" s="2">
        <f>K6+F7-I7</f>
        <v/>
      </c>
    </row>
    <row r="8">
      <c r="A8" t="inlineStr">
        <is>
          <t>27-05-2026</t>
        </is>
      </c>
      <c r="B8" t="inlineStr">
        <is>
          <t>Venta</t>
        </is>
      </c>
      <c r="C8" t="inlineStr">
        <is>
          <t>19.700</t>
        </is>
      </c>
      <c r="D8" s="2" t="n"/>
      <c r="E8" s="2" t="n"/>
      <c r="F8" s="2" t="n"/>
      <c r="G8" s="2" t="n">
        <v>30</v>
      </c>
      <c r="H8" s="2">
        <f>E4</f>
        <v/>
      </c>
      <c r="I8" s="2">
        <f>G8*H8</f>
        <v/>
      </c>
      <c r="J8" s="2">
        <f>J7+D8-G8</f>
        <v/>
      </c>
      <c r="K8" s="2">
        <f>K7+F8-I8</f>
        <v/>
      </c>
    </row>
    <row r="9">
      <c r="A9" t="inlineStr">
        <is>
          <t>27-05-2026</t>
        </is>
      </c>
      <c r="B9" t="inlineStr">
        <is>
          <t>Venta</t>
        </is>
      </c>
      <c r="C9" t="inlineStr">
        <is>
          <t>20.300</t>
        </is>
      </c>
      <c r="D9" s="2" t="n"/>
      <c r="E9" s="2" t="n"/>
      <c r="F9" s="2" t="n"/>
      <c r="G9" s="2" t="n">
        <v>25</v>
      </c>
      <c r="H9" s="2">
        <f>E7</f>
        <v/>
      </c>
      <c r="I9" s="2">
        <f>G9*H9</f>
        <v/>
      </c>
      <c r="J9" s="2">
        <f>J8+D9-G9</f>
        <v/>
      </c>
      <c r="K9" s="2">
        <f>K8+F9-I9</f>
        <v/>
      </c>
    </row>
    <row r="10">
      <c r="A10" t="inlineStr">
        <is>
          <t>31-05-2026</t>
        </is>
      </c>
      <c r="B10" t="inlineStr">
        <is>
          <t>Merma</t>
        </is>
      </c>
      <c r="C10" t="inlineStr">
        <is>
          <t>20.300</t>
        </is>
      </c>
      <c r="D10" s="2" t="n"/>
      <c r="E10" s="2" t="n"/>
      <c r="F10" s="2" t="n"/>
      <c r="G10" s="2" t="n">
        <v>1</v>
      </c>
      <c r="H10" s="2">
        <f>E7</f>
        <v/>
      </c>
      <c r="I10" s="2">
        <f>G10*H10</f>
        <v/>
      </c>
      <c r="J10" s="2">
        <f>J9+D10-G10</f>
        <v/>
      </c>
      <c r="K10" s="2">
        <f>K9+F10-I10</f>
        <v/>
      </c>
    </row>
    <row r="11"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B12" t="inlineStr">
        <is>
          <t>Costo de ventas</t>
        </is>
      </c>
      <c r="D12" s="2" t="n"/>
      <c r="E12" s="2" t="n"/>
      <c r="F12" s="2" t="n"/>
      <c r="G12" s="2" t="n"/>
      <c r="H12" s="2" t="n"/>
      <c r="I12" s="2" t="n"/>
      <c r="J12" s="2" t="n"/>
      <c r="K12" s="2">
        <f>I5+I6+I8+I9-(0)</f>
        <v/>
      </c>
    </row>
    <row r="13">
      <c r="B13" t="inlineStr">
        <is>
          <t>Merma</t>
        </is>
      </c>
      <c r="D13" s="2" t="n"/>
      <c r="E13" s="2" t="n"/>
      <c r="F13" s="2" t="n"/>
      <c r="G13" s="2" t="n"/>
      <c r="H13" s="2" t="n"/>
      <c r="I13" s="2" t="n"/>
      <c r="J13" s="2" t="n"/>
      <c r="K13" s="2">
        <f>I10</f>
        <v/>
      </c>
    </row>
    <row r="14">
      <c r="B14" t="inlineStr">
        <is>
          <t>Saldo final</t>
        </is>
      </c>
      <c r="D14" s="2" t="n"/>
      <c r="E14" s="2" t="n"/>
      <c r="F14" s="2" t="n"/>
      <c r="G14" s="2" t="n"/>
      <c r="H14" s="2" t="n"/>
      <c r="I14" s="2" t="n"/>
      <c r="J14" s="2" t="n"/>
      <c r="K14" s="2">
        <f>K10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2" customWidth="1" min="5" max="5"/>
    <col width="13" customWidth="1" min="6" max="6"/>
    <col width="9" customWidth="1" min="7" max="7"/>
    <col width="12" customWidth="1" min="8" max="8"/>
    <col width="13" customWidth="1" min="9" max="9"/>
    <col width="9" customWidth="1" min="10" max="10"/>
    <col width="13" customWidth="1" min="11" max="11"/>
    <col width="11" customWidth="1" min="12" max="12"/>
  </cols>
  <sheetData>
    <row r="1">
      <c r="A1" s="1" t="inlineStr">
        <is>
          <t>Ejemplo cascos PPP · precio promedio ponderado</t>
        </is>
      </c>
    </row>
    <row r="2">
      <c r="A2" s="1" t="inlineStr">
        <is>
          <t>Fecha</t>
        </is>
      </c>
      <c r="B2" s="1" t="inlineStr">
        <is>
          <t>Movimiento</t>
        </is>
      </c>
      <c r="C2" s="1" t="inlineStr">
        <is>
          <t>Lote</t>
        </is>
      </c>
      <c r="D2" s="1" t="inlineStr">
        <is>
          <t>Entra u</t>
        </is>
      </c>
      <c r="E2" s="1" t="inlineStr">
        <is>
          <t>Entra precio</t>
        </is>
      </c>
      <c r="F2" s="1" t="inlineStr">
        <is>
          <t>Entra $</t>
        </is>
      </c>
      <c r="G2" s="1" t="inlineStr">
        <is>
          <t>Sale u</t>
        </is>
      </c>
      <c r="H2" s="1" t="inlineStr">
        <is>
          <t>Sale precio</t>
        </is>
      </c>
      <c r="I2" s="1" t="inlineStr">
        <is>
          <t>Sale $</t>
        </is>
      </c>
      <c r="J2" s="1" t="inlineStr">
        <is>
          <t>Saldo u</t>
        </is>
      </c>
      <c r="K2" s="1" t="inlineStr">
        <is>
          <t>Saldo $</t>
        </is>
      </c>
      <c r="L2" s="1" t="inlineStr">
        <is>
          <t>Promedio</t>
        </is>
      </c>
    </row>
    <row r="3">
      <c r="A3" t="inlineStr">
        <is>
          <t>01-05-2026</t>
        </is>
      </c>
      <c r="B3" t="inlineStr">
        <is>
          <t>Saldo inicial</t>
        </is>
      </c>
      <c r="C3" t="inlineStr"/>
      <c r="D3" s="2" t="n">
        <v>40</v>
      </c>
      <c r="E3" s="2" t="n">
        <v>18500</v>
      </c>
      <c r="F3" s="2">
        <f>D3*E3</f>
        <v/>
      </c>
      <c r="G3" s="2" t="n"/>
      <c r="H3" s="2" t="n"/>
      <c r="I3" s="2" t="n"/>
      <c r="J3" s="2">
        <f>D3-G3</f>
        <v/>
      </c>
      <c r="K3" s="2">
        <f>F3-I3</f>
        <v/>
      </c>
      <c r="L3" s="2">
        <f>K3/J3</f>
        <v/>
      </c>
    </row>
    <row r="4">
      <c r="A4" t="inlineStr">
        <is>
          <t>06-05-2026</t>
        </is>
      </c>
      <c r="B4" t="inlineStr">
        <is>
          <t>Compra</t>
        </is>
      </c>
      <c r="C4" t="inlineStr"/>
      <c r="D4" s="2" t="n">
        <v>60</v>
      </c>
      <c r="E4" s="2" t="n">
        <v>19700</v>
      </c>
      <c r="F4" s="2">
        <f>D4*E4</f>
        <v/>
      </c>
      <c r="G4" s="2" t="n"/>
      <c r="H4" s="2" t="n"/>
      <c r="I4" s="2" t="n"/>
      <c r="J4" s="2">
        <f>J3+D4-G4</f>
        <v/>
      </c>
      <c r="K4" s="2">
        <f>K3+F4-I4</f>
        <v/>
      </c>
      <c r="L4" s="2">
        <f>K4/J4</f>
        <v/>
      </c>
    </row>
    <row r="5">
      <c r="A5" t="inlineStr">
        <is>
          <t>12-05-2026</t>
        </is>
      </c>
      <c r="B5" t="inlineStr">
        <is>
          <t>Venta</t>
        </is>
      </c>
      <c r="C5" t="inlineStr"/>
      <c r="D5" s="2" t="n"/>
      <c r="E5" s="2" t="n"/>
      <c r="F5" s="2" t="n"/>
      <c r="G5" s="2" t="n">
        <v>70</v>
      </c>
      <c r="H5" s="2">
        <f>L4</f>
        <v/>
      </c>
      <c r="I5" s="2">
        <f>G5*H5</f>
        <v/>
      </c>
      <c r="J5" s="2">
        <f>J4+D5-G5</f>
        <v/>
      </c>
      <c r="K5" s="2">
        <f>K4+F5-I5</f>
        <v/>
      </c>
      <c r="L5" s="2">
        <f>K5/J5</f>
        <v/>
      </c>
    </row>
    <row r="6">
      <c r="A6" t="inlineStr">
        <is>
          <t>20-05-2026</t>
        </is>
      </c>
      <c r="B6" t="inlineStr">
        <is>
          <t>Compra</t>
        </is>
      </c>
      <c r="C6" t="inlineStr"/>
      <c r="D6" s="2" t="n">
        <v>50</v>
      </c>
      <c r="E6" s="2" t="n">
        <v>20300</v>
      </c>
      <c r="F6" s="2">
        <f>D6*E6</f>
        <v/>
      </c>
      <c r="G6" s="2" t="n"/>
      <c r="H6" s="2" t="n"/>
      <c r="I6" s="2" t="n"/>
      <c r="J6" s="2">
        <f>J5+D6-G6</f>
        <v/>
      </c>
      <c r="K6" s="2">
        <f>K5+F6-I6</f>
        <v/>
      </c>
      <c r="L6" s="2">
        <f>K6/J6</f>
        <v/>
      </c>
    </row>
    <row r="7">
      <c r="A7" t="inlineStr">
        <is>
          <t>27-05-2026</t>
        </is>
      </c>
      <c r="B7" t="inlineStr">
        <is>
          <t>Venta</t>
        </is>
      </c>
      <c r="C7" t="inlineStr"/>
      <c r="D7" s="2" t="n"/>
      <c r="E7" s="2" t="n"/>
      <c r="F7" s="2" t="n"/>
      <c r="G7" s="2" t="n">
        <v>55</v>
      </c>
      <c r="H7" s="2">
        <f>L6</f>
        <v/>
      </c>
      <c r="I7" s="2">
        <f>G7*H7</f>
        <v/>
      </c>
      <c r="J7" s="2">
        <f>J6+D7-G7</f>
        <v/>
      </c>
      <c r="K7" s="2">
        <f>K6+F7-I7</f>
        <v/>
      </c>
      <c r="L7" s="2">
        <f>K7/J7</f>
        <v/>
      </c>
    </row>
    <row r="8">
      <c r="A8" t="inlineStr">
        <is>
          <t>31-05-2026</t>
        </is>
      </c>
      <c r="B8" t="inlineStr">
        <is>
          <t>Merma</t>
        </is>
      </c>
      <c r="C8" t="inlineStr"/>
      <c r="D8" s="2" t="n"/>
      <c r="E8" s="2" t="n"/>
      <c r="F8" s="2" t="n"/>
      <c r="G8" s="2" t="n">
        <v>1</v>
      </c>
      <c r="H8" s="2">
        <f>L7</f>
        <v/>
      </c>
      <c r="I8" s="2">
        <f>G8*H8</f>
        <v/>
      </c>
      <c r="J8" s="2">
        <f>J7+D8-G8</f>
        <v/>
      </c>
      <c r="K8" s="2">
        <f>K7+F8-I8</f>
        <v/>
      </c>
      <c r="L8" s="2">
        <f>K8/J8</f>
        <v/>
      </c>
    </row>
    <row r="9"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B10" t="inlineStr">
        <is>
          <t>Costo de ventas</t>
        </is>
      </c>
      <c r="D10" s="2" t="n"/>
      <c r="E10" s="2" t="n"/>
      <c r="F10" s="2" t="n"/>
      <c r="G10" s="2" t="n"/>
      <c r="H10" s="2" t="n"/>
      <c r="I10" s="2" t="n"/>
      <c r="J10" s="2" t="n"/>
      <c r="K10" s="2">
        <f>I5+I7-(0)</f>
        <v/>
      </c>
      <c r="L10" s="2" t="n"/>
    </row>
    <row r="11">
      <c r="B11" t="inlineStr">
        <is>
          <t>Merma</t>
        </is>
      </c>
      <c r="D11" s="2" t="n"/>
      <c r="E11" s="2" t="n"/>
      <c r="F11" s="2" t="n"/>
      <c r="G11" s="2" t="n"/>
      <c r="H11" s="2" t="n"/>
      <c r="I11" s="2" t="n"/>
      <c r="J11" s="2" t="n"/>
      <c r="K11" s="2">
        <f>I8</f>
        <v/>
      </c>
      <c r="L11" s="2" t="n"/>
    </row>
    <row r="12">
      <c r="B12" t="inlineStr">
        <is>
          <t>Saldo final</t>
        </is>
      </c>
      <c r="D12" s="2" t="n"/>
      <c r="E12" s="2" t="n"/>
      <c r="F12" s="2" t="n"/>
      <c r="G12" s="2" t="n"/>
      <c r="H12" s="2" t="n"/>
      <c r="I12" s="2" t="n"/>
      <c r="J12" s="2" t="n"/>
      <c r="K12" s="2">
        <f>K8</f>
        <v/>
      </c>
      <c r="L1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2" customWidth="1" min="5" max="5"/>
    <col width="13" customWidth="1" min="6" max="6"/>
    <col width="9" customWidth="1" min="7" max="7"/>
    <col width="12" customWidth="1" min="8" max="8"/>
    <col width="13" customWidth="1" min="9" max="9"/>
    <col width="9" customWidth="1" min="10" max="10"/>
    <col width="13" customWidth="1" min="11" max="11"/>
    <col width="11" customWidth="1" min="12" max="12"/>
  </cols>
  <sheetData>
    <row r="1">
      <c r="A1" s="1" t="inlineStr">
        <is>
          <t>Ejercicio 7.5 PPP · precio promedio ponderado</t>
        </is>
      </c>
    </row>
    <row r="2">
      <c r="A2" s="1" t="inlineStr">
        <is>
          <t>Fecha</t>
        </is>
      </c>
      <c r="B2" s="1" t="inlineStr">
        <is>
          <t>Movimiento</t>
        </is>
      </c>
      <c r="C2" s="1" t="inlineStr">
        <is>
          <t>Lote</t>
        </is>
      </c>
      <c r="D2" s="1" t="inlineStr">
        <is>
          <t>Entra u</t>
        </is>
      </c>
      <c r="E2" s="1" t="inlineStr">
        <is>
          <t>Entra precio</t>
        </is>
      </c>
      <c r="F2" s="1" t="inlineStr">
        <is>
          <t>Entra $</t>
        </is>
      </c>
      <c r="G2" s="1" t="inlineStr">
        <is>
          <t>Sale u</t>
        </is>
      </c>
      <c r="H2" s="1" t="inlineStr">
        <is>
          <t>Sale precio</t>
        </is>
      </c>
      <c r="I2" s="1" t="inlineStr">
        <is>
          <t>Sale $</t>
        </is>
      </c>
      <c r="J2" s="1" t="inlineStr">
        <is>
          <t>Saldo u</t>
        </is>
      </c>
      <c r="K2" s="1" t="inlineStr">
        <is>
          <t>Saldo $</t>
        </is>
      </c>
      <c r="L2" s="1" t="inlineStr">
        <is>
          <t>Promedio</t>
        </is>
      </c>
    </row>
    <row r="3">
      <c r="A3" t="inlineStr">
        <is>
          <t>01-07-2026</t>
        </is>
      </c>
      <c r="B3" t="inlineStr">
        <is>
          <t>Saldo inicial</t>
        </is>
      </c>
      <c r="C3" t="inlineStr"/>
      <c r="D3" s="2" t="n">
        <v>314</v>
      </c>
      <c r="E3" s="2" t="n">
        <v>8230</v>
      </c>
      <c r="F3" s="2">
        <f>D3*E3</f>
        <v/>
      </c>
      <c r="G3" s="2" t="n"/>
      <c r="H3" s="2" t="n"/>
      <c r="I3" s="2" t="n"/>
      <c r="J3" s="2">
        <f>D3-G3</f>
        <v/>
      </c>
      <c r="K3" s="2">
        <f>F3-I3</f>
        <v/>
      </c>
      <c r="L3" s="2">
        <f>K3/J3</f>
        <v/>
      </c>
    </row>
    <row r="4">
      <c r="A4" t="inlineStr">
        <is>
          <t>04-07-2026</t>
        </is>
      </c>
      <c r="B4" t="inlineStr">
        <is>
          <t>Compra</t>
        </is>
      </c>
      <c r="C4" t="inlineStr"/>
      <c r="D4" s="2" t="n">
        <v>506</v>
      </c>
      <c r="E4" s="2" t="n">
        <v>8640</v>
      </c>
      <c r="F4" s="2">
        <f>D4*E4</f>
        <v/>
      </c>
      <c r="G4" s="2" t="n"/>
      <c r="H4" s="2" t="n"/>
      <c r="I4" s="2" t="n"/>
      <c r="J4" s="2">
        <f>J3+D4-G4</f>
        <v/>
      </c>
      <c r="K4" s="2">
        <f>K3+F4-I4</f>
        <v/>
      </c>
      <c r="L4" s="2">
        <f>K4/J4</f>
        <v/>
      </c>
    </row>
    <row r="5">
      <c r="A5" t="inlineStr">
        <is>
          <t>07-07-2026</t>
        </is>
      </c>
      <c r="B5" t="inlineStr">
        <is>
          <t>Devolución de compra</t>
        </is>
      </c>
      <c r="C5" t="inlineStr"/>
      <c r="D5" s="2" t="n"/>
      <c r="E5" s="2" t="n"/>
      <c r="F5" s="2" t="n"/>
      <c r="G5" s="2" t="n">
        <v>35</v>
      </c>
      <c r="H5" s="2">
        <f>E4</f>
        <v/>
      </c>
      <c r="I5" s="2">
        <f>G5*H5</f>
        <v/>
      </c>
      <c r="J5" s="2">
        <f>J4+D5-G5</f>
        <v/>
      </c>
      <c r="K5" s="2">
        <f>K4+F5-I5</f>
        <v/>
      </c>
      <c r="L5" s="2">
        <f>K5/J5</f>
        <v/>
      </c>
    </row>
    <row r="6">
      <c r="A6" t="inlineStr">
        <is>
          <t>15-07-2026</t>
        </is>
      </c>
      <c r="B6" t="inlineStr">
        <is>
          <t>Venta</t>
        </is>
      </c>
      <c r="C6" t="inlineStr"/>
      <c r="D6" s="2" t="n"/>
      <c r="E6" s="2" t="n"/>
      <c r="F6" s="2" t="n"/>
      <c r="G6" s="2" t="n">
        <v>437</v>
      </c>
      <c r="H6" s="2">
        <f>L5</f>
        <v/>
      </c>
      <c r="I6" s="2">
        <f>G6*H6</f>
        <v/>
      </c>
      <c r="J6" s="2">
        <f>J5+D6-G6</f>
        <v/>
      </c>
      <c r="K6" s="2">
        <f>K5+F6-I6</f>
        <v/>
      </c>
      <c r="L6" s="2">
        <f>K6/J6</f>
        <v/>
      </c>
    </row>
    <row r="7">
      <c r="A7" t="inlineStr">
        <is>
          <t>18-07-2026</t>
        </is>
      </c>
      <c r="B7" t="inlineStr">
        <is>
          <t>Devolución de venta</t>
        </is>
      </c>
      <c r="C7" t="inlineStr"/>
      <c r="D7" s="2" t="n">
        <v>23</v>
      </c>
      <c r="E7" s="2">
        <f>H6</f>
        <v/>
      </c>
      <c r="F7" s="2">
        <f>D7*E7</f>
        <v/>
      </c>
      <c r="G7" s="2" t="n"/>
      <c r="H7" s="2" t="n"/>
      <c r="I7" s="2" t="n"/>
      <c r="J7" s="2">
        <f>J6+D7-G7</f>
        <v/>
      </c>
      <c r="K7" s="2">
        <f>K6+F7-I7</f>
        <v/>
      </c>
      <c r="L7" s="2">
        <f>K7/J7</f>
        <v/>
      </c>
    </row>
    <row r="8">
      <c r="A8" t="inlineStr">
        <is>
          <t>22-07-2026</t>
        </is>
      </c>
      <c r="B8" t="inlineStr">
        <is>
          <t>Compra</t>
        </is>
      </c>
      <c r="C8" t="inlineStr"/>
      <c r="D8" s="2" t="n">
        <v>406</v>
      </c>
      <c r="E8" s="2" t="n">
        <v>8920</v>
      </c>
      <c r="F8" s="2">
        <f>D8*E8</f>
        <v/>
      </c>
      <c r="G8" s="2" t="n"/>
      <c r="H8" s="2" t="n"/>
      <c r="I8" s="2" t="n"/>
      <c r="J8" s="2">
        <f>J7+D8-G8</f>
        <v/>
      </c>
      <c r="K8" s="2">
        <f>K7+F8-I8</f>
        <v/>
      </c>
      <c r="L8" s="2">
        <f>K8/J8</f>
        <v/>
      </c>
    </row>
    <row r="9">
      <c r="A9" t="inlineStr">
        <is>
          <t>28-07-2026</t>
        </is>
      </c>
      <c r="B9" t="inlineStr">
        <is>
          <t>Venta</t>
        </is>
      </c>
      <c r="C9" t="inlineStr"/>
      <c r="D9" s="2" t="n"/>
      <c r="E9" s="2" t="n"/>
      <c r="F9" s="2" t="n"/>
      <c r="G9" s="2" t="n">
        <v>479</v>
      </c>
      <c r="H9" s="2">
        <f>L8</f>
        <v/>
      </c>
      <c r="I9" s="2">
        <f>G9*H9</f>
        <v/>
      </c>
      <c r="J9" s="2">
        <f>J8+D9-G9</f>
        <v/>
      </c>
      <c r="K9" s="2">
        <f>K8+F9-I9</f>
        <v/>
      </c>
      <c r="L9" s="2">
        <f>K9/J9</f>
        <v/>
      </c>
    </row>
    <row r="10">
      <c r="A10" t="inlineStr">
        <is>
          <t>31-07-2026</t>
        </is>
      </c>
      <c r="B10" t="inlineStr">
        <is>
          <t>Merma</t>
        </is>
      </c>
      <c r="C10" t="inlineStr"/>
      <c r="D10" s="2" t="n"/>
      <c r="E10" s="2" t="n"/>
      <c r="F10" s="2" t="n"/>
      <c r="G10" s="2" t="n">
        <v>3</v>
      </c>
      <c r="H10" s="2">
        <f>L9</f>
        <v/>
      </c>
      <c r="I10" s="2">
        <f>G10*H10</f>
        <v/>
      </c>
      <c r="J10" s="2">
        <f>J9+D10-G10</f>
        <v/>
      </c>
      <c r="K10" s="2">
        <f>K9+F10-I10</f>
        <v/>
      </c>
      <c r="L10" s="2">
        <f>K10/J10</f>
        <v/>
      </c>
    </row>
    <row r="11"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B12" t="inlineStr">
        <is>
          <t>Costo de ventas</t>
        </is>
      </c>
      <c r="D12" s="2" t="n"/>
      <c r="E12" s="2" t="n"/>
      <c r="F12" s="2" t="n"/>
      <c r="G12" s="2" t="n"/>
      <c r="H12" s="2" t="n"/>
      <c r="I12" s="2" t="n"/>
      <c r="J12" s="2" t="n"/>
      <c r="K12" s="2">
        <f>I6+I9-(F7)</f>
        <v/>
      </c>
      <c r="L12" s="2" t="n"/>
    </row>
    <row r="13">
      <c r="B13" t="inlineStr">
        <is>
          <t>Merma</t>
        </is>
      </c>
      <c r="D13" s="2" t="n"/>
      <c r="E13" s="2" t="n"/>
      <c r="F13" s="2" t="n"/>
      <c r="G13" s="2" t="n"/>
      <c r="H13" s="2" t="n"/>
      <c r="I13" s="2" t="n"/>
      <c r="J13" s="2" t="n"/>
      <c r="K13" s="2">
        <f>I10</f>
        <v/>
      </c>
      <c r="L13" s="2" t="n"/>
    </row>
    <row r="14">
      <c r="B14" t="inlineStr">
        <is>
          <t>Saldo final</t>
        </is>
      </c>
      <c r="D14" s="2" t="n"/>
      <c r="E14" s="2" t="n"/>
      <c r="F14" s="2" t="n"/>
      <c r="G14" s="2" t="n"/>
      <c r="H14" s="2" t="n"/>
      <c r="I14" s="2" t="n"/>
      <c r="J14" s="2" t="n"/>
      <c r="K14" s="2">
        <f>K10</f>
        <v/>
      </c>
      <c r="L1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0" customWidth="1" min="3" max="3"/>
    <col width="9" customWidth="1" min="4" max="4"/>
    <col width="12" customWidth="1" min="5" max="5"/>
    <col width="13" customWidth="1" min="6" max="6"/>
    <col width="9" customWidth="1" min="7" max="7"/>
    <col width="12" customWidth="1" min="8" max="8"/>
    <col width="13" customWidth="1" min="9" max="9"/>
    <col width="9" customWidth="1" min="10" max="10"/>
    <col width="13" customWidth="1" min="11" max="11"/>
    <col width="11" customWidth="1" min="12" max="12"/>
  </cols>
  <sheetData>
    <row r="1">
      <c r="A1" s="1" t="inlineStr">
        <is>
          <t>Ejercicio 7.10 FIFO · FIFO</t>
        </is>
      </c>
    </row>
    <row r="2">
      <c r="A2" s="1" t="inlineStr">
        <is>
          <t>Fecha</t>
        </is>
      </c>
      <c r="B2" s="1" t="inlineStr">
        <is>
          <t>Movimiento</t>
        </is>
      </c>
      <c r="C2" s="1" t="inlineStr">
        <is>
          <t>Lote</t>
        </is>
      </c>
      <c r="D2" s="1" t="inlineStr">
        <is>
          <t>Entra u</t>
        </is>
      </c>
      <c r="E2" s="1" t="inlineStr">
        <is>
          <t>Entra precio</t>
        </is>
      </c>
      <c r="F2" s="1" t="inlineStr">
        <is>
          <t>Entra $</t>
        </is>
      </c>
      <c r="G2" s="1" t="inlineStr">
        <is>
          <t>Sale u</t>
        </is>
      </c>
      <c r="H2" s="1" t="inlineStr">
        <is>
          <t>Sale precio</t>
        </is>
      </c>
      <c r="I2" s="1" t="inlineStr">
        <is>
          <t>Sale $</t>
        </is>
      </c>
      <c r="J2" s="1" t="inlineStr">
        <is>
          <t>Saldo u</t>
        </is>
      </c>
      <c r="K2" s="1" t="inlineStr">
        <is>
          <t>Saldo $</t>
        </is>
      </c>
    </row>
    <row r="3">
      <c r="A3" t="inlineStr">
        <is>
          <t>01-10-2026</t>
        </is>
      </c>
      <c r="B3" t="inlineStr">
        <is>
          <t>Saldo inicial</t>
        </is>
      </c>
      <c r="C3" t="inlineStr">
        <is>
          <t>16.100</t>
        </is>
      </c>
      <c r="D3" s="2" t="n">
        <v>83</v>
      </c>
      <c r="E3" s="2" t="n">
        <v>16100</v>
      </c>
      <c r="F3" s="2">
        <f>D3*E3</f>
        <v/>
      </c>
      <c r="G3" s="2" t="n"/>
      <c r="H3" s="2" t="n"/>
      <c r="I3" s="2" t="n"/>
      <c r="J3" s="2">
        <f>D3-G3</f>
        <v/>
      </c>
      <c r="K3" s="2">
        <f>F3-I3</f>
        <v/>
      </c>
    </row>
    <row r="4">
      <c r="A4" t="inlineStr">
        <is>
          <t>05-10-2026</t>
        </is>
      </c>
      <c r="B4" t="inlineStr">
        <is>
          <t>Compra</t>
        </is>
      </c>
      <c r="C4" t="inlineStr">
        <is>
          <t>16.900</t>
        </is>
      </c>
      <c r="D4" s="2" t="n">
        <v>127</v>
      </c>
      <c r="E4" s="2" t="n">
        <v>16900</v>
      </c>
      <c r="F4" s="2">
        <f>D4*E4</f>
        <v/>
      </c>
      <c r="G4" s="2" t="n"/>
      <c r="H4" s="2" t="n"/>
      <c r="I4" s="2" t="n"/>
      <c r="J4" s="2">
        <f>J3+D4-G4</f>
        <v/>
      </c>
      <c r="K4" s="2">
        <f>K3+F4-I4</f>
        <v/>
      </c>
    </row>
    <row r="5">
      <c r="A5" t="inlineStr">
        <is>
          <t>09-10-2026</t>
        </is>
      </c>
      <c r="B5" t="inlineStr">
        <is>
          <t>Venta</t>
        </is>
      </c>
      <c r="C5" t="inlineStr">
        <is>
          <t>16.100</t>
        </is>
      </c>
      <c r="D5" s="2" t="n"/>
      <c r="E5" s="2" t="n"/>
      <c r="F5" s="2" t="n"/>
      <c r="G5" s="2" t="n">
        <v>83</v>
      </c>
      <c r="H5" s="2">
        <f>E3</f>
        <v/>
      </c>
      <c r="I5" s="2">
        <f>G5*H5</f>
        <v/>
      </c>
      <c r="J5" s="2">
        <f>J4+D5-G5</f>
        <v/>
      </c>
      <c r="K5" s="2">
        <f>K4+F5-I5</f>
        <v/>
      </c>
    </row>
    <row r="6">
      <c r="A6" t="inlineStr">
        <is>
          <t>09-10-2026</t>
        </is>
      </c>
      <c r="B6" t="inlineStr">
        <is>
          <t>Venta</t>
        </is>
      </c>
      <c r="C6" t="inlineStr">
        <is>
          <t>16.900</t>
        </is>
      </c>
      <c r="D6" s="2" t="n"/>
      <c r="E6" s="2" t="n"/>
      <c r="F6" s="2" t="n"/>
      <c r="G6" s="2" t="n">
        <v>71</v>
      </c>
      <c r="H6" s="2">
        <f>E4</f>
        <v/>
      </c>
      <c r="I6" s="2">
        <f>G6*H6</f>
        <v/>
      </c>
      <c r="J6" s="2">
        <f>J5+D6-G6</f>
        <v/>
      </c>
      <c r="K6" s="2">
        <f>K5+F6-I6</f>
        <v/>
      </c>
    </row>
    <row r="7">
      <c r="A7" t="inlineStr">
        <is>
          <t>13-10-2026</t>
        </is>
      </c>
      <c r="B7" t="inlineStr">
        <is>
          <t>Devolución de venta</t>
        </is>
      </c>
      <c r="C7" t="inlineStr">
        <is>
          <t>16.900</t>
        </is>
      </c>
      <c r="D7" s="2" t="n">
        <v>9</v>
      </c>
      <c r="E7" s="2">
        <f>E4</f>
        <v/>
      </c>
      <c r="F7" s="2">
        <f>D7*E7</f>
        <v/>
      </c>
      <c r="G7" s="2" t="n"/>
      <c r="H7" s="2" t="n"/>
      <c r="I7" s="2" t="n"/>
      <c r="J7" s="2">
        <f>J6+D7-G7</f>
        <v/>
      </c>
      <c r="K7" s="2">
        <f>K6+F7-I7</f>
        <v/>
      </c>
    </row>
    <row r="8">
      <c r="A8" t="inlineStr">
        <is>
          <t>20-10-2026</t>
        </is>
      </c>
      <c r="B8" t="inlineStr">
        <is>
          <t>Compra</t>
        </is>
      </c>
      <c r="C8" t="inlineStr">
        <is>
          <t>17.450</t>
        </is>
      </c>
      <c r="D8" s="2" t="n">
        <v>96</v>
      </c>
      <c r="E8" s="2" t="n">
        <v>17450</v>
      </c>
      <c r="F8" s="2">
        <f>D8*E8</f>
        <v/>
      </c>
      <c r="G8" s="2" t="n"/>
      <c r="H8" s="2" t="n"/>
      <c r="I8" s="2" t="n"/>
      <c r="J8" s="2">
        <f>J7+D8-G8</f>
        <v/>
      </c>
      <c r="K8" s="2">
        <f>K7+F8-I8</f>
        <v/>
      </c>
    </row>
    <row r="9">
      <c r="A9" t="inlineStr">
        <is>
          <t>24-10-2026</t>
        </is>
      </c>
      <c r="B9" t="inlineStr">
        <is>
          <t>Devolución de compra</t>
        </is>
      </c>
      <c r="C9" t="inlineStr">
        <is>
          <t>17.450</t>
        </is>
      </c>
      <c r="D9" s="2" t="n"/>
      <c r="E9" s="2" t="n"/>
      <c r="F9" s="2" t="n"/>
      <c r="G9" s="2" t="n">
        <v>6</v>
      </c>
      <c r="H9" s="2">
        <f>E8</f>
        <v/>
      </c>
      <c r="I9" s="2">
        <f>G9*H9</f>
        <v/>
      </c>
      <c r="J9" s="2">
        <f>J8+D9-G9</f>
        <v/>
      </c>
      <c r="K9" s="2">
        <f>K8+F9-I9</f>
        <v/>
      </c>
    </row>
    <row r="10">
      <c r="A10" t="inlineStr">
        <is>
          <t>27-10-2026</t>
        </is>
      </c>
      <c r="B10" t="inlineStr">
        <is>
          <t>Venta</t>
        </is>
      </c>
      <c r="C10" t="inlineStr">
        <is>
          <t>16.900</t>
        </is>
      </c>
      <c r="D10" s="2" t="n"/>
      <c r="E10" s="2" t="n"/>
      <c r="F10" s="2" t="n"/>
      <c r="G10" s="2" t="n">
        <v>65</v>
      </c>
      <c r="H10" s="2">
        <f>E4</f>
        <v/>
      </c>
      <c r="I10" s="2">
        <f>G10*H10</f>
        <v/>
      </c>
      <c r="J10" s="2">
        <f>J9+D10-G10</f>
        <v/>
      </c>
      <c r="K10" s="2">
        <f>K9+F10-I10</f>
        <v/>
      </c>
    </row>
    <row r="11">
      <c r="A11" t="inlineStr">
        <is>
          <t>27-10-2026</t>
        </is>
      </c>
      <c r="B11" t="inlineStr">
        <is>
          <t>Venta</t>
        </is>
      </c>
      <c r="C11" t="inlineStr">
        <is>
          <t>17.450</t>
        </is>
      </c>
      <c r="D11" s="2" t="n"/>
      <c r="E11" s="2" t="n"/>
      <c r="F11" s="2" t="n"/>
      <c r="G11" s="2" t="n">
        <v>52</v>
      </c>
      <c r="H11" s="2">
        <f>E8</f>
        <v/>
      </c>
      <c r="I11" s="2">
        <f>G11*H11</f>
        <v/>
      </c>
      <c r="J11" s="2">
        <f>J10+D11-G11</f>
        <v/>
      </c>
      <c r="K11" s="2">
        <f>K10+F11-I11</f>
        <v/>
      </c>
    </row>
    <row r="12">
      <c r="A12" t="inlineStr">
        <is>
          <t>31-10-2026</t>
        </is>
      </c>
      <c r="B12" t="inlineStr">
        <is>
          <t>Merma</t>
        </is>
      </c>
      <c r="C12" t="inlineStr">
        <is>
          <t>17.450</t>
        </is>
      </c>
      <c r="D12" s="2" t="n"/>
      <c r="E12" s="2" t="n"/>
      <c r="F12" s="2" t="n"/>
      <c r="G12" s="2" t="n">
        <v>1</v>
      </c>
      <c r="H12" s="2">
        <f>E8</f>
        <v/>
      </c>
      <c r="I12" s="2">
        <f>G12*H12</f>
        <v/>
      </c>
      <c r="J12" s="2">
        <f>J11+D12-G12</f>
        <v/>
      </c>
      <c r="K12" s="2">
        <f>K11+F12-I12</f>
        <v/>
      </c>
    </row>
    <row r="13"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B14" t="inlineStr">
        <is>
          <t>Costo de ventas</t>
        </is>
      </c>
      <c r="D14" s="2" t="n"/>
      <c r="E14" s="2" t="n"/>
      <c r="F14" s="2" t="n"/>
      <c r="G14" s="2" t="n"/>
      <c r="H14" s="2" t="n"/>
      <c r="I14" s="2" t="n"/>
      <c r="J14" s="2" t="n"/>
      <c r="K14" s="2">
        <f>I5+I6+I10+I11-(F7)</f>
        <v/>
      </c>
    </row>
    <row r="15">
      <c r="B15" t="inlineStr">
        <is>
          <t>Merma</t>
        </is>
      </c>
      <c r="D15" s="2" t="n"/>
      <c r="E15" s="2" t="n"/>
      <c r="F15" s="2" t="n"/>
      <c r="G15" s="2" t="n"/>
      <c r="H15" s="2" t="n"/>
      <c r="I15" s="2" t="n"/>
      <c r="J15" s="2" t="n"/>
      <c r="K15" s="2">
        <f>I12</f>
        <v/>
      </c>
    </row>
    <row r="16">
      <c r="B16" t="inlineStr">
        <is>
          <t>Saldo final</t>
        </is>
      </c>
      <c r="D16" s="2" t="n"/>
      <c r="E16" s="2" t="n"/>
      <c r="F16" s="2" t="n"/>
      <c r="G16" s="2" t="n"/>
      <c r="H16" s="2" t="n"/>
      <c r="I16" s="2" t="n"/>
      <c r="J16" s="2" t="n"/>
      <c r="K16" s="2">
        <f>K12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2026-10-16T10:52:32Z</dcterms:created>
  <dcterms:modified xmlns:dcterms="http://purl.org/dc/terms/" xmlns:xsi="http://www.w3.org/2001/XMLSchema-instance" xsi:type="dcterms:W3CDTF">2026-10-16T10:52:32Z</dcterms:modified>
</cp:coreProperties>
</file>