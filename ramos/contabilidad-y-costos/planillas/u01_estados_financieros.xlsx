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01-03" sheetId="1" state="visible" r:id="rId1"/>
    <sheet xmlns:r="http://schemas.openxmlformats.org/officeDocument/2006/relationships" name="Rueda Libre abr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Estampa Sur · balance al 1 de marzo (pesos)</t>
        </is>
      </c>
    </row>
    <row r="3">
      <c r="A3" t="inlineStr">
        <is>
          <t>Activo corriente</t>
        </is>
      </c>
      <c r="B3" t="inlineStr"/>
    </row>
    <row r="4">
      <c r="A4" t="inlineStr">
        <is>
          <t>Banco</t>
        </is>
      </c>
      <c r="B4" t="n">
        <v>4270000</v>
      </c>
    </row>
    <row r="5">
      <c r="A5" t="inlineStr">
        <is>
          <t>Clientes</t>
        </is>
      </c>
      <c r="B5" t="n">
        <v>1180000</v>
      </c>
    </row>
    <row r="6">
      <c r="A6" t="inlineStr">
        <is>
          <t>Poleras lisas básicas</t>
        </is>
      </c>
      <c r="B6" t="n">
        <v>2160000</v>
      </c>
    </row>
    <row r="7">
      <c r="A7" t="inlineStr">
        <is>
          <t>Tinta</t>
        </is>
      </c>
      <c r="B7" t="n">
        <v>198000</v>
      </c>
    </row>
    <row r="8">
      <c r="A8" t="inlineStr">
        <is>
          <t>Arriendo pagado por anticipado</t>
        </is>
      </c>
      <c r="B8" t="n">
        <v>580000</v>
      </c>
    </row>
    <row r="9">
      <c r="A9" t="inlineStr">
        <is>
          <t>Total activo corriente</t>
        </is>
      </c>
      <c r="B9">
        <f>SUM(B4:B8)</f>
        <v/>
      </c>
    </row>
    <row r="11">
      <c r="A11" t="inlineStr">
        <is>
          <t>Activo no corriente</t>
        </is>
      </c>
    </row>
    <row r="12">
      <c r="A12" t="inlineStr">
        <is>
          <t>Maquinaria</t>
        </is>
      </c>
      <c r="B12" t="n">
        <v>9840000</v>
      </c>
    </row>
    <row r="13">
      <c r="A13" t="inlineStr">
        <is>
          <t>Depreciación acumulada</t>
        </is>
      </c>
      <c r="B13" t="n">
        <v>-2460000</v>
      </c>
    </row>
    <row r="14">
      <c r="A14" t="inlineStr">
        <is>
          <t>Total activo no corriente</t>
        </is>
      </c>
      <c r="B14">
        <f>SUM(B12:B13)</f>
        <v/>
      </c>
    </row>
    <row r="16">
      <c r="A16" t="inlineStr">
        <is>
          <t>TOTAL ACTIVO</t>
        </is>
      </c>
      <c r="B16">
        <f>B9+B14</f>
        <v/>
      </c>
    </row>
    <row r="18">
      <c r="A18" t="inlineStr">
        <is>
          <t>Pasivo corriente</t>
        </is>
      </c>
    </row>
    <row r="19">
      <c r="A19" t="inlineStr">
        <is>
          <t>Proveedores</t>
        </is>
      </c>
      <c r="B19" t="n">
        <v>1340000</v>
      </c>
    </row>
    <row r="20">
      <c r="A20" t="inlineStr">
        <is>
          <t>TOTAL PASIVO</t>
        </is>
      </c>
      <c r="B20">
        <f>SUM(B19:B19)</f>
        <v/>
      </c>
    </row>
    <row r="22">
      <c r="A22" t="inlineStr">
        <is>
          <t>Capital (patrimonio = activo − pasivo)</t>
        </is>
      </c>
      <c r="B22">
        <f>B16-B20</f>
        <v/>
      </c>
    </row>
    <row r="23">
      <c r="A23" t="inlineStr">
        <is>
          <t>TOTAL PASIVO + PATRIMONIO</t>
        </is>
      </c>
      <c r="B23">
        <f>B20+B22</f>
        <v/>
      </c>
    </row>
    <row r="24">
      <c r="A24" t="inlineStr">
        <is>
          <t>Diferencia (debe dar 0)</t>
        </is>
      </c>
      <c r="B24">
        <f>B16-B23</f>
        <v/>
      </c>
    </row>
    <row r="25">
      <c r="A25" t="inlineStr">
        <is>
          <t>Capital de trabajo</t>
        </is>
      </c>
      <c r="B25">
        <f>B9-B20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Transacción</t>
        </is>
      </c>
      <c r="B1" t="inlineStr">
        <is>
          <t>Fecha</t>
        </is>
      </c>
      <c r="C1" t="inlineStr">
        <is>
          <t>Banco</t>
        </is>
      </c>
      <c r="D1" t="inlineStr">
        <is>
          <t>Clientes</t>
        </is>
      </c>
      <c r="E1" t="inlineStr">
        <is>
          <t>Mercaderías</t>
        </is>
      </c>
      <c r="F1" t="inlineStr">
        <is>
          <t>Arriendo pagado por anticipado</t>
        </is>
      </c>
      <c r="G1" t="inlineStr">
        <is>
          <t>Equipos y herramientas</t>
        </is>
      </c>
      <c r="H1" t="inlineStr">
        <is>
          <t>Proveedores</t>
        </is>
      </c>
      <c r="I1" t="inlineStr">
        <is>
          <t>Cuentas por pagar</t>
        </is>
      </c>
      <c r="J1" t="inlineStr">
        <is>
          <t>Ingreso percibido por adelantado</t>
        </is>
      </c>
      <c r="K1" t="inlineStr">
        <is>
          <t>Capital</t>
        </is>
      </c>
      <c r="L1" t="inlineStr">
        <is>
          <t>Retiros del dueño</t>
        </is>
      </c>
      <c r="M1" t="inlineStr">
        <is>
          <t>Ventas de repuestos</t>
        </is>
      </c>
      <c r="N1" t="inlineStr">
        <is>
          <t>Ingresos por reparaciones</t>
        </is>
      </c>
      <c r="O1" t="inlineStr">
        <is>
          <t>Costo de ventas</t>
        </is>
      </c>
      <c r="P1" t="inlineStr">
        <is>
          <t>Sueldos</t>
        </is>
      </c>
      <c r="Q1" t="inlineStr">
        <is>
          <t>Arriendo</t>
        </is>
      </c>
      <c r="R1" t="inlineStr">
        <is>
          <t>Electricidad</t>
        </is>
      </c>
    </row>
    <row r="2">
      <c r="A2" t="inlineStr">
        <is>
          <t>a</t>
        </is>
      </c>
      <c r="B2" t="inlineStr">
        <is>
          <t>01-04-2026</t>
        </is>
      </c>
      <c r="C2" t="n">
        <v>6300000</v>
      </c>
      <c r="K2" t="n">
        <v>6300000</v>
      </c>
    </row>
    <row r="3">
      <c r="A3" t="inlineStr">
        <is>
          <t>b</t>
        </is>
      </c>
      <c r="B3" t="inlineStr">
        <is>
          <t>02-04-2026</t>
        </is>
      </c>
      <c r="C3" t="n">
        <v>-1450000</v>
      </c>
      <c r="G3" t="n">
        <v>1450000</v>
      </c>
    </row>
    <row r="4">
      <c r="A4" t="inlineStr">
        <is>
          <t>c</t>
        </is>
      </c>
      <c r="B4" t="inlineStr">
        <is>
          <t>03-04-2026</t>
        </is>
      </c>
      <c r="C4" t="n">
        <v>-860000</v>
      </c>
      <c r="E4" t="n">
        <v>2150000</v>
      </c>
      <c r="H4" t="n">
        <v>1290000</v>
      </c>
    </row>
    <row r="5">
      <c r="A5" t="inlineStr">
        <is>
          <t>d</t>
        </is>
      </c>
      <c r="B5" t="inlineStr">
        <is>
          <t>05-04-2026</t>
        </is>
      </c>
      <c r="C5" t="n">
        <v>-670000</v>
      </c>
      <c r="F5" t="n">
        <v>335000</v>
      </c>
      <c r="Q5" t="n">
        <v>335000</v>
      </c>
    </row>
    <row r="6">
      <c r="A6" t="inlineStr">
        <is>
          <t>e</t>
        </is>
      </c>
      <c r="B6" t="inlineStr">
        <is>
          <t>15-04-2026</t>
        </is>
      </c>
      <c r="C6" t="n">
        <v>992000</v>
      </c>
      <c r="D6" t="n">
        <v>992000</v>
      </c>
      <c r="E6" t="n">
        <v>-1240000</v>
      </c>
      <c r="M6" t="n">
        <v>1984000</v>
      </c>
      <c r="O6" t="n">
        <v>1240000</v>
      </c>
    </row>
    <row r="7">
      <c r="A7" t="inlineStr">
        <is>
          <t>f</t>
        </is>
      </c>
      <c r="B7" t="inlineStr">
        <is>
          <t>15-04-2026</t>
        </is>
      </c>
      <c r="C7" t="n">
        <v>730000</v>
      </c>
      <c r="N7" t="n">
        <v>730000</v>
      </c>
    </row>
    <row r="8">
      <c r="A8" t="inlineStr">
        <is>
          <t>g</t>
        </is>
      </c>
      <c r="B8" t="inlineStr">
        <is>
          <t>20-04-2026</t>
        </is>
      </c>
      <c r="C8" t="n">
        <v>265000</v>
      </c>
      <c r="J8" t="n">
        <v>265000</v>
      </c>
    </row>
    <row r="9">
      <c r="A9" t="inlineStr">
        <is>
          <t>h</t>
        </is>
      </c>
      <c r="B9" t="inlineStr">
        <is>
          <t>30-04-2026</t>
        </is>
      </c>
      <c r="C9" t="n">
        <v>-560000</v>
      </c>
      <c r="P9" t="n">
        <v>560000</v>
      </c>
    </row>
    <row r="10">
      <c r="A10" t="inlineStr">
        <is>
          <t>i</t>
        </is>
      </c>
      <c r="B10" t="inlineStr">
        <is>
          <t>30-04-2026</t>
        </is>
      </c>
      <c r="I10" t="n">
        <v>48000</v>
      </c>
      <c r="R10" t="n">
        <v>48000</v>
      </c>
    </row>
    <row r="11">
      <c r="A11" t="inlineStr">
        <is>
          <t>j</t>
        </is>
      </c>
      <c r="B11" t="inlineStr">
        <is>
          <t>30-04-2026</t>
        </is>
      </c>
      <c r="C11" t="n">
        <v>-185000</v>
      </c>
      <c r="L11" t="n">
        <v>185000</v>
      </c>
    </row>
    <row r="12">
      <c r="A12" t="inlineStr">
        <is>
          <t>Saldo al 30-04</t>
        </is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  <c r="I12">
        <f>SUM(I2:I11)</f>
        <v/>
      </c>
      <c r="J12">
        <f>SUM(J2:J11)</f>
        <v/>
      </c>
      <c r="K12">
        <f>SUM(K2:K11)</f>
        <v/>
      </c>
      <c r="L12">
        <f>SUM(L2:L11)</f>
        <v/>
      </c>
      <c r="M12">
        <f>SUM(M2:M11)</f>
        <v/>
      </c>
      <c r="N12">
        <f>SUM(N2:N11)</f>
        <v/>
      </c>
      <c r="O12">
        <f>SUM(O2:O11)</f>
        <v/>
      </c>
      <c r="P12">
        <f>SUM(P2:P11)</f>
        <v/>
      </c>
      <c r="Q12">
        <f>SUM(Q2:Q11)</f>
        <v/>
      </c>
      <c r="R12">
        <f>SUM(R2:R11)</f>
        <v/>
      </c>
    </row>
    <row r="14">
      <c r="A14" t="inlineStr">
        <is>
          <t>Estado de resultados de abril</t>
        </is>
      </c>
    </row>
    <row r="15">
      <c r="A15" t="inlineStr">
        <is>
          <t>Ingresos</t>
        </is>
      </c>
      <c r="B15">
        <f>M12+N12</f>
        <v/>
      </c>
    </row>
    <row r="16">
      <c r="A16" t="inlineStr">
        <is>
          <t>Costo de ventas</t>
        </is>
      </c>
      <c r="B16">
        <f>O12</f>
        <v/>
      </c>
    </row>
    <row r="17">
      <c r="A17" t="inlineStr">
        <is>
          <t>Margen bruto</t>
        </is>
      </c>
      <c r="B17">
        <f>B15-B16</f>
        <v/>
      </c>
    </row>
    <row r="18">
      <c r="A18" t="inlineStr">
        <is>
          <t>Gastos de operación</t>
        </is>
      </c>
      <c r="B18">
        <f>P12+Q12+R12</f>
        <v/>
      </c>
    </row>
    <row r="19">
      <c r="A19" t="inlineStr">
        <is>
          <t>Utilidad del mes</t>
        </is>
      </c>
      <c r="B19">
        <f>B17-B18</f>
        <v/>
      </c>
    </row>
    <row r="20">
      <c r="A20" t="inlineStr">
        <is>
          <t>Balance al 30-04</t>
        </is>
      </c>
    </row>
    <row r="21">
      <c r="A21" t="inlineStr">
        <is>
          <t>Total activo</t>
        </is>
      </c>
      <c r="B21">
        <f>C12+D12+E12+F12+G12</f>
        <v/>
      </c>
    </row>
    <row r="22">
      <c r="A22" t="inlineStr">
        <is>
          <t>Total pasivo</t>
        </is>
      </c>
      <c r="B22">
        <f>H12+I12+J12</f>
        <v/>
      </c>
    </row>
    <row r="23">
      <c r="A23" t="inlineStr">
        <is>
          <t>Patrimonio final (capital + utilidad − retiros)</t>
        </is>
      </c>
      <c r="B23">
        <f>K12+B19-L12</f>
        <v/>
      </c>
    </row>
    <row r="24">
      <c r="A24" t="inlineStr">
        <is>
          <t>Diferencia (debe dar 0)</t>
        </is>
      </c>
      <c r="B24">
        <f>B21-B22-B23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2026-10-16T10:52:28Z</dcterms:created>
  <dcterms:modified xmlns:dcterms="http://purl.org/dc/terms/" xmlns:xsi="http://www.w3.org/2001/XMLSchema-instance" xsi:type="dcterms:W3CDTF">2026-10-16T10:52:28Z</dcterms:modified>
</cp:coreProperties>
</file>