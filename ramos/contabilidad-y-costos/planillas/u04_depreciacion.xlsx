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odos" sheetId="1" state="visible" r:id="rId1"/>
    <sheet xmlns:r="http://schemas.openxmlformats.org/officeDocument/2006/relationships" name="Caso marz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2F1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Panadería Los Aromos · horno rotatorio (datos en azul; lo demás es fórmula)</t>
        </is>
      </c>
    </row>
    <row r="3">
      <c r="A3" t="inlineStr">
        <is>
          <t>Precio neto</t>
        </is>
      </c>
      <c r="B3" s="2" t="n">
        <v>8460000</v>
      </c>
    </row>
    <row r="4">
      <c r="A4" t="inlineStr">
        <is>
          <t>Flete</t>
        </is>
      </c>
      <c r="B4" s="2" t="n">
        <v>248000</v>
      </c>
    </row>
    <row r="5">
      <c r="A5" t="inlineStr">
        <is>
          <t>Instalación</t>
        </is>
      </c>
      <c r="B5" s="2" t="n">
        <v>332000</v>
      </c>
    </row>
    <row r="6">
      <c r="A6" t="inlineStr">
        <is>
          <t>Costo del activo</t>
        </is>
      </c>
      <c r="B6">
        <f>B3+B4+B5</f>
        <v/>
      </c>
    </row>
    <row r="7">
      <c r="A7" t="inlineStr">
        <is>
          <t>Valor residual</t>
        </is>
      </c>
      <c r="B7" s="2" t="n">
        <v>940000</v>
      </c>
    </row>
    <row r="8">
      <c r="A8" t="inlineStr">
        <is>
          <t>Vida útil (años)</t>
        </is>
      </c>
      <c r="B8" s="2" t="n">
        <v>6</v>
      </c>
    </row>
    <row r="9">
      <c r="A9" t="inlineStr">
        <is>
          <t>Base depreciable</t>
        </is>
      </c>
      <c r="B9">
        <f>B6-B7</f>
        <v/>
      </c>
    </row>
    <row r="10">
      <c r="A10" t="inlineStr">
        <is>
          <t>Tasa de saldo decreciente</t>
        </is>
      </c>
      <c r="B10">
        <f>1-(B7/B6)^(1/B8)</f>
        <v/>
      </c>
    </row>
    <row r="11">
      <c r="A11" t="inlineStr">
        <is>
          <t>Suma de los dígitos</t>
        </is>
      </c>
      <c r="B11">
        <f>B8*(B8+1)/2</f>
        <v/>
      </c>
    </row>
    <row r="12">
      <c r="A12" t="inlineStr">
        <is>
          <t>Bandejas en toda la vida</t>
        </is>
      </c>
      <c r="B12">
        <f>SUM(B16:B21)</f>
        <v/>
      </c>
    </row>
    <row r="13">
      <c r="A13" t="inlineStr">
        <is>
          <t>Depreciación por bandeja</t>
        </is>
      </c>
      <c r="B13">
        <f>B9/B12</f>
        <v/>
      </c>
    </row>
    <row r="15">
      <c r="A15" s="3" t="inlineStr">
        <is>
          <t>Año</t>
        </is>
      </c>
      <c r="B15" s="3" t="inlineStr">
        <is>
          <t>Bandejas</t>
        </is>
      </c>
      <c r="C15" s="3" t="inlineStr">
        <is>
          <t>Lineal</t>
        </is>
      </c>
      <c r="D15" s="3" t="inlineStr">
        <is>
          <t>Unidades</t>
        </is>
      </c>
      <c r="E15" s="3" t="inlineStr">
        <is>
          <t>Saldo decreciente</t>
        </is>
      </c>
      <c r="F15" s="3" t="inlineStr">
        <is>
          <t>Suma de dígitos</t>
        </is>
      </c>
      <c r="G15" s="3" t="inlineStr">
        <is>
          <t>VL lineal</t>
        </is>
      </c>
      <c r="H15" s="3" t="inlineStr">
        <is>
          <t>VL unidades</t>
        </is>
      </c>
      <c r="I15" s="3" t="inlineStr">
        <is>
          <t>VL saldo decr.</t>
        </is>
      </c>
      <c r="J15" s="3" t="inlineStr">
        <is>
          <t>VL suma díg.</t>
        </is>
      </c>
    </row>
    <row r="16">
      <c r="A16" t="n">
        <v>1</v>
      </c>
      <c r="B16" s="2" t="n">
        <v>29400</v>
      </c>
      <c r="C16">
        <f>$B$9/$B$8</f>
        <v/>
      </c>
      <c r="D16">
        <f>B16*$B$13</f>
        <v/>
      </c>
      <c r="E16">
        <f>$B$6*$B$10</f>
        <v/>
      </c>
      <c r="F16">
        <f>($B$8-A16+1)/$B$11*$B$9</f>
        <v/>
      </c>
      <c r="G16">
        <f>$B$6-C16</f>
        <v/>
      </c>
      <c r="H16">
        <f>$B$6-D16</f>
        <v/>
      </c>
      <c r="I16">
        <f>$B$6-E16</f>
        <v/>
      </c>
      <c r="J16">
        <f>$B$6-F16</f>
        <v/>
      </c>
    </row>
    <row r="17">
      <c r="A17" t="n">
        <v>2</v>
      </c>
      <c r="B17" s="2" t="n">
        <v>31800</v>
      </c>
      <c r="C17">
        <f>$B$9/$B$8</f>
        <v/>
      </c>
      <c r="D17">
        <f>B17*$B$13</f>
        <v/>
      </c>
      <c r="E17">
        <f>I16*$B$10</f>
        <v/>
      </c>
      <c r="F17">
        <f>($B$8-A17+1)/$B$11*$B$9</f>
        <v/>
      </c>
      <c r="G17">
        <f>G16-C17</f>
        <v/>
      </c>
      <c r="H17">
        <f>H16-D17</f>
        <v/>
      </c>
      <c r="I17">
        <f>I16-E17</f>
        <v/>
      </c>
      <c r="J17">
        <f>J16-F17</f>
        <v/>
      </c>
    </row>
    <row r="18">
      <c r="A18" t="n">
        <v>3</v>
      </c>
      <c r="B18" s="2" t="n">
        <v>28600</v>
      </c>
      <c r="C18">
        <f>$B$9/$B$8</f>
        <v/>
      </c>
      <c r="D18">
        <f>B18*$B$13</f>
        <v/>
      </c>
      <c r="E18">
        <f>I17*$B$10</f>
        <v/>
      </c>
      <c r="F18">
        <f>($B$8-A18+1)/$B$11*$B$9</f>
        <v/>
      </c>
      <c r="G18">
        <f>G17-C18</f>
        <v/>
      </c>
      <c r="H18">
        <f>H17-D18</f>
        <v/>
      </c>
      <c r="I18">
        <f>I17-E18</f>
        <v/>
      </c>
      <c r="J18">
        <f>J17-F18</f>
        <v/>
      </c>
    </row>
    <row r="19">
      <c r="A19" t="n">
        <v>4</v>
      </c>
      <c r="B19" s="2" t="n">
        <v>26200</v>
      </c>
      <c r="C19">
        <f>$B$9/$B$8</f>
        <v/>
      </c>
      <c r="D19">
        <f>B19*$B$13</f>
        <v/>
      </c>
      <c r="E19">
        <f>I18*$B$10</f>
        <v/>
      </c>
      <c r="F19">
        <f>($B$8-A19+1)/$B$11*$B$9</f>
        <v/>
      </c>
      <c r="G19">
        <f>G18-C19</f>
        <v/>
      </c>
      <c r="H19">
        <f>H18-D19</f>
        <v/>
      </c>
      <c r="I19">
        <f>I18-E19</f>
        <v/>
      </c>
      <c r="J19">
        <f>J18-F19</f>
        <v/>
      </c>
    </row>
    <row r="20">
      <c r="A20" t="n">
        <v>5</v>
      </c>
      <c r="B20" s="2" t="n">
        <v>24300</v>
      </c>
      <c r="C20">
        <f>$B$9/$B$8</f>
        <v/>
      </c>
      <c r="D20">
        <f>B20*$B$13</f>
        <v/>
      </c>
      <c r="E20">
        <f>I19*$B$10</f>
        <v/>
      </c>
      <c r="F20">
        <f>($B$8-A20+1)/$B$11*$B$9</f>
        <v/>
      </c>
      <c r="G20">
        <f>G19-C20</f>
        <v/>
      </c>
      <c r="H20">
        <f>H19-D20</f>
        <v/>
      </c>
      <c r="I20">
        <f>I19-E20</f>
        <v/>
      </c>
      <c r="J20">
        <f>J19-F20</f>
        <v/>
      </c>
    </row>
    <row r="21">
      <c r="A21" t="n">
        <v>6</v>
      </c>
      <c r="B21" s="2" t="n">
        <v>21700</v>
      </c>
      <c r="C21">
        <f>$B$9/$B$8</f>
        <v/>
      </c>
      <c r="D21">
        <f>B21*$B$13</f>
        <v/>
      </c>
      <c r="E21">
        <f>I20*$B$10</f>
        <v/>
      </c>
      <c r="F21">
        <f>($B$8-A21+1)/$B$11*$B$9</f>
        <v/>
      </c>
      <c r="G21">
        <f>G20-C21</f>
        <v/>
      </c>
      <c r="H21">
        <f>H20-D21</f>
        <v/>
      </c>
      <c r="I21">
        <f>I20-E21</f>
        <v/>
      </c>
      <c r="J21">
        <f>J20-F21</f>
        <v/>
      </c>
    </row>
    <row r="22">
      <c r="A22" s="1" t="inlineStr">
        <is>
          <t>Total</t>
        </is>
      </c>
      <c r="B22">
        <f>SUM(B16:B21)</f>
        <v/>
      </c>
      <c r="C22">
        <f>SUM(C16:C21)</f>
        <v/>
      </c>
      <c r="D22">
        <f>SUM(D16:D21)</f>
        <v/>
      </c>
      <c r="E22">
        <f>SUM(E16:E21)</f>
        <v/>
      </c>
      <c r="F22">
        <f>SUM(F16:F21)</f>
        <v/>
      </c>
    </row>
    <row r="24">
      <c r="A24" t="inlineStr">
        <is>
          <t>Depreciación mensual (lineal)</t>
        </is>
      </c>
      <c r="B24">
        <f>C16/12</f>
        <v/>
      </c>
    </row>
    <row r="25">
      <c r="A25" t="inlineStr">
        <is>
          <t>Depreciación de 2026 (10 meses)</t>
        </is>
      </c>
      <c r="B25">
        <f>B24*10</f>
        <v/>
      </c>
    </row>
    <row r="26">
      <c r="A26" t="inlineStr">
        <is>
          <t>Valor libro al 31-12-2026</t>
        </is>
      </c>
      <c r="B26">
        <f>B6-B25</f>
        <v/>
      </c>
    </row>
    <row r="27">
      <c r="A27" t="inlineStr">
        <is>
          <t>Precio de venta tras 48 meses</t>
        </is>
      </c>
      <c r="B27" s="2" t="n">
        <v>3980000</v>
      </c>
    </row>
    <row r="28">
      <c r="A28" t="inlineStr">
        <is>
          <t>Utilidad (pérdida) en la venta</t>
        </is>
      </c>
      <c r="B28">
        <f>B27-(B6-B24*48)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Estampa Sur · depreciación mensual desde marzo de 2026</t>
        </is>
      </c>
    </row>
    <row r="3">
      <c r="A3" t="inlineStr">
        <is>
          <t>Pulpo 6 · costo</t>
        </is>
      </c>
      <c r="B3" s="2" t="n">
        <v>9840000</v>
      </c>
    </row>
    <row r="4">
      <c r="A4" t="inlineStr">
        <is>
          <t>Pulpo 6 · valor residual</t>
        </is>
      </c>
      <c r="B4" s="2" t="n">
        <v>0</v>
      </c>
    </row>
    <row r="5">
      <c r="A5" t="inlineStr">
        <is>
          <t>Pulpo 6 · vida útil (meses)</t>
        </is>
      </c>
      <c r="B5" s="2" t="n">
        <v>96</v>
      </c>
    </row>
    <row r="6">
      <c r="A6" t="inlineStr">
        <is>
          <t>Pulpo 6 · dep. acumulada al 01-03</t>
        </is>
      </c>
      <c r="B6" s="2" t="n">
        <v>2460000</v>
      </c>
    </row>
    <row r="7">
      <c r="A7" t="inlineStr">
        <is>
          <t>Segunda máquina · costo neto</t>
        </is>
      </c>
      <c r="B7" s="2" t="n">
        <v>14300000</v>
      </c>
    </row>
    <row r="8">
      <c r="A8" t="inlineStr">
        <is>
          <t>Segunda máquina · valor residual</t>
        </is>
      </c>
      <c r="B8" s="2" t="n">
        <v>1800000</v>
      </c>
    </row>
    <row r="9">
      <c r="A9" t="inlineStr">
        <is>
          <t>Segunda máquina · vida útil (meses)</t>
        </is>
      </c>
      <c r="B9" s="2" t="n">
        <v>60</v>
      </c>
    </row>
    <row r="10">
      <c r="A10" t="inlineStr">
        <is>
          <t>Pulpo 6 · depreciación mensual</t>
        </is>
      </c>
      <c r="B10">
        <f>(B3-B4)/B5</f>
        <v/>
      </c>
    </row>
    <row r="11">
      <c r="A11" t="inlineStr">
        <is>
          <t>Segunda máquina · depreciación mensual</t>
        </is>
      </c>
      <c r="B11">
        <f>(B7-B8)/B9</f>
        <v/>
      </c>
    </row>
    <row r="14">
      <c r="A14" s="3" t="inlineStr">
        <is>
          <t>Mes</t>
        </is>
      </c>
      <c r="B14" s="3" t="inlineStr">
        <is>
          <t>Período</t>
        </is>
      </c>
      <c r="C14" s="3" t="inlineStr">
        <is>
          <t>Dep. pulpo 6</t>
        </is>
      </c>
      <c r="D14" s="3" t="inlineStr">
        <is>
          <t>DA pulpo 6</t>
        </is>
      </c>
      <c r="E14" s="3" t="inlineStr">
        <is>
          <t>VL pulpo 6</t>
        </is>
      </c>
      <c r="F14" s="3" t="inlineStr">
        <is>
          <t>Dep. segunda</t>
        </is>
      </c>
      <c r="G14" s="3" t="inlineStr">
        <is>
          <t>DA segunda</t>
        </is>
      </c>
      <c r="H14" s="3" t="inlineStr">
        <is>
          <t>VL segunda</t>
        </is>
      </c>
      <c r="I14" s="3" t="inlineStr">
        <is>
          <t>Total del mes</t>
        </is>
      </c>
    </row>
    <row r="15">
      <c r="A15" t="n">
        <v>1</v>
      </c>
      <c r="B15" t="inlineStr">
        <is>
          <t>03-2026</t>
        </is>
      </c>
      <c r="C15">
        <f>MAX(0,MIN($B$10,$B$3-$B$6-$B$4))</f>
        <v/>
      </c>
      <c r="D15">
        <f>$B$6+C15</f>
        <v/>
      </c>
      <c r="E15">
        <f>$B$3-D15</f>
        <v/>
      </c>
      <c r="F15">
        <f>MAX(0,MIN($B$11,$B$7-0-$B$8))</f>
        <v/>
      </c>
      <c r="G15">
        <f>0+F15</f>
        <v/>
      </c>
      <c r="H15">
        <f>$B$7-G15</f>
        <v/>
      </c>
      <c r="I15">
        <f>C15+F15</f>
        <v/>
      </c>
    </row>
    <row r="16">
      <c r="A16" t="n">
        <v>2</v>
      </c>
      <c r="B16" t="inlineStr">
        <is>
          <t>04-2026</t>
        </is>
      </c>
      <c r="C16">
        <f>MAX(0,MIN($B$10,$B$3-D15-$B$4))</f>
        <v/>
      </c>
      <c r="D16">
        <f>D15+C16</f>
        <v/>
      </c>
      <c r="E16">
        <f>$B$3-D16</f>
        <v/>
      </c>
      <c r="F16">
        <f>MAX(0,MIN($B$11,$B$7-G15-$B$8))</f>
        <v/>
      </c>
      <c r="G16">
        <f>G15+F16</f>
        <v/>
      </c>
      <c r="H16">
        <f>$B$7-G16</f>
        <v/>
      </c>
      <c r="I16">
        <f>C16+F16</f>
        <v/>
      </c>
    </row>
    <row r="17">
      <c r="A17" t="n">
        <v>3</v>
      </c>
      <c r="B17" t="inlineStr">
        <is>
          <t>05-2026</t>
        </is>
      </c>
      <c r="C17">
        <f>MAX(0,MIN($B$10,$B$3-D16-$B$4))</f>
        <v/>
      </c>
      <c r="D17">
        <f>D16+C17</f>
        <v/>
      </c>
      <c r="E17">
        <f>$B$3-D17</f>
        <v/>
      </c>
      <c r="F17">
        <f>MAX(0,MIN($B$11,$B$7-G16-$B$8))</f>
        <v/>
      </c>
      <c r="G17">
        <f>G16+F17</f>
        <v/>
      </c>
      <c r="H17">
        <f>$B$7-G17</f>
        <v/>
      </c>
      <c r="I17">
        <f>C17+F17</f>
        <v/>
      </c>
    </row>
    <row r="18">
      <c r="A18" t="n">
        <v>4</v>
      </c>
      <c r="B18" t="inlineStr">
        <is>
          <t>06-2026</t>
        </is>
      </c>
      <c r="C18">
        <f>MAX(0,MIN($B$10,$B$3-D17-$B$4))</f>
        <v/>
      </c>
      <c r="D18">
        <f>D17+C18</f>
        <v/>
      </c>
      <c r="E18">
        <f>$B$3-D18</f>
        <v/>
      </c>
      <c r="F18">
        <f>MAX(0,MIN($B$11,$B$7-G17-$B$8))</f>
        <v/>
      </c>
      <c r="G18">
        <f>G17+F18</f>
        <v/>
      </c>
      <c r="H18">
        <f>$B$7-G18</f>
        <v/>
      </c>
      <c r="I18">
        <f>C18+F18</f>
        <v/>
      </c>
    </row>
    <row r="19">
      <c r="A19" t="n">
        <v>5</v>
      </c>
      <c r="B19" t="inlineStr">
        <is>
          <t>07-2026</t>
        </is>
      </c>
      <c r="C19">
        <f>MAX(0,MIN($B$10,$B$3-D18-$B$4))</f>
        <v/>
      </c>
      <c r="D19">
        <f>D18+C19</f>
        <v/>
      </c>
      <c r="E19">
        <f>$B$3-D19</f>
        <v/>
      </c>
      <c r="F19">
        <f>MAX(0,MIN($B$11,$B$7-G18-$B$8))</f>
        <v/>
      </c>
      <c r="G19">
        <f>G18+F19</f>
        <v/>
      </c>
      <c r="H19">
        <f>$B$7-G19</f>
        <v/>
      </c>
      <c r="I19">
        <f>C19+F19</f>
        <v/>
      </c>
    </row>
    <row r="20">
      <c r="A20" t="n">
        <v>6</v>
      </c>
      <c r="B20" t="inlineStr">
        <is>
          <t>08-2026</t>
        </is>
      </c>
      <c r="C20">
        <f>MAX(0,MIN($B$10,$B$3-D19-$B$4))</f>
        <v/>
      </c>
      <c r="D20">
        <f>D19+C20</f>
        <v/>
      </c>
      <c r="E20">
        <f>$B$3-D20</f>
        <v/>
      </c>
      <c r="F20">
        <f>MAX(0,MIN($B$11,$B$7-G19-$B$8))</f>
        <v/>
      </c>
      <c r="G20">
        <f>G19+F20</f>
        <v/>
      </c>
      <c r="H20">
        <f>$B$7-G20</f>
        <v/>
      </c>
      <c r="I20">
        <f>C20+F20</f>
        <v/>
      </c>
    </row>
    <row r="21">
      <c r="A21" t="n">
        <v>7</v>
      </c>
      <c r="B21" t="inlineStr">
        <is>
          <t>09-2026</t>
        </is>
      </c>
      <c r="C21">
        <f>MAX(0,MIN($B$10,$B$3-D20-$B$4))</f>
        <v/>
      </c>
      <c r="D21">
        <f>D20+C21</f>
        <v/>
      </c>
      <c r="E21">
        <f>$B$3-D21</f>
        <v/>
      </c>
      <c r="F21">
        <f>MAX(0,MIN($B$11,$B$7-G20-$B$8))</f>
        <v/>
      </c>
      <c r="G21">
        <f>G20+F21</f>
        <v/>
      </c>
      <c r="H21">
        <f>$B$7-G21</f>
        <v/>
      </c>
      <c r="I21">
        <f>C21+F21</f>
        <v/>
      </c>
    </row>
    <row r="22">
      <c r="A22" t="n">
        <v>8</v>
      </c>
      <c r="B22" t="inlineStr">
        <is>
          <t>10-2026</t>
        </is>
      </c>
      <c r="C22">
        <f>MAX(0,MIN($B$10,$B$3-D21-$B$4))</f>
        <v/>
      </c>
      <c r="D22">
        <f>D21+C22</f>
        <v/>
      </c>
      <c r="E22">
        <f>$B$3-D22</f>
        <v/>
      </c>
      <c r="F22">
        <f>MAX(0,MIN($B$11,$B$7-G21-$B$8))</f>
        <v/>
      </c>
      <c r="G22">
        <f>G21+F22</f>
        <v/>
      </c>
      <c r="H22">
        <f>$B$7-G22</f>
        <v/>
      </c>
      <c r="I22">
        <f>C22+F22</f>
        <v/>
      </c>
    </row>
    <row r="23">
      <c r="A23" t="n">
        <v>9</v>
      </c>
      <c r="B23" t="inlineStr">
        <is>
          <t>11-2026</t>
        </is>
      </c>
      <c r="C23">
        <f>MAX(0,MIN($B$10,$B$3-D22-$B$4))</f>
        <v/>
      </c>
      <c r="D23">
        <f>D22+C23</f>
        <v/>
      </c>
      <c r="E23">
        <f>$B$3-D23</f>
        <v/>
      </c>
      <c r="F23">
        <f>MAX(0,MIN($B$11,$B$7-G22-$B$8))</f>
        <v/>
      </c>
      <c r="G23">
        <f>G22+F23</f>
        <v/>
      </c>
      <c r="H23">
        <f>$B$7-G23</f>
        <v/>
      </c>
      <c r="I23">
        <f>C23+F23</f>
        <v/>
      </c>
    </row>
    <row r="24">
      <c r="A24" t="n">
        <v>10</v>
      </c>
      <c r="B24" t="inlineStr">
        <is>
          <t>12-2026</t>
        </is>
      </c>
      <c r="C24">
        <f>MAX(0,MIN($B$10,$B$3-D23-$B$4))</f>
        <v/>
      </c>
      <c r="D24">
        <f>D23+C24</f>
        <v/>
      </c>
      <c r="E24">
        <f>$B$3-D24</f>
        <v/>
      </c>
      <c r="F24">
        <f>MAX(0,MIN($B$11,$B$7-G23-$B$8))</f>
        <v/>
      </c>
      <c r="G24">
        <f>G23+F24</f>
        <v/>
      </c>
      <c r="H24">
        <f>$B$7-G24</f>
        <v/>
      </c>
      <c r="I24">
        <f>C24+F24</f>
        <v/>
      </c>
    </row>
    <row r="25">
      <c r="A25" t="n">
        <v>11</v>
      </c>
      <c r="B25" t="inlineStr">
        <is>
          <t>01-2027</t>
        </is>
      </c>
      <c r="C25">
        <f>MAX(0,MIN($B$10,$B$3-D24-$B$4))</f>
        <v/>
      </c>
      <c r="D25">
        <f>D24+C25</f>
        <v/>
      </c>
      <c r="E25">
        <f>$B$3-D25</f>
        <v/>
      </c>
      <c r="F25">
        <f>MAX(0,MIN($B$11,$B$7-G24-$B$8))</f>
        <v/>
      </c>
      <c r="G25">
        <f>G24+F25</f>
        <v/>
      </c>
      <c r="H25">
        <f>$B$7-G25</f>
        <v/>
      </c>
      <c r="I25">
        <f>C25+F25</f>
        <v/>
      </c>
    </row>
    <row r="26">
      <c r="A26" t="n">
        <v>12</v>
      </c>
      <c r="B26" t="inlineStr">
        <is>
          <t>02-2027</t>
        </is>
      </c>
      <c r="C26">
        <f>MAX(0,MIN($B$10,$B$3-D25-$B$4))</f>
        <v/>
      </c>
      <c r="D26">
        <f>D25+C26</f>
        <v/>
      </c>
      <c r="E26">
        <f>$B$3-D26</f>
        <v/>
      </c>
      <c r="F26">
        <f>MAX(0,MIN($B$11,$B$7-G25-$B$8))</f>
        <v/>
      </c>
      <c r="G26">
        <f>G25+F26</f>
        <v/>
      </c>
      <c r="H26">
        <f>$B$7-G26</f>
        <v/>
      </c>
      <c r="I26">
        <f>C26+F26</f>
        <v/>
      </c>
    </row>
    <row r="27">
      <c r="A27" t="n">
        <v>13</v>
      </c>
      <c r="B27" t="inlineStr">
        <is>
          <t>03-2027</t>
        </is>
      </c>
      <c r="C27">
        <f>MAX(0,MIN($B$10,$B$3-D26-$B$4))</f>
        <v/>
      </c>
      <c r="D27">
        <f>D26+C27</f>
        <v/>
      </c>
      <c r="E27">
        <f>$B$3-D27</f>
        <v/>
      </c>
      <c r="F27">
        <f>MAX(0,MIN($B$11,$B$7-G26-$B$8))</f>
        <v/>
      </c>
      <c r="G27">
        <f>G26+F27</f>
        <v/>
      </c>
      <c r="H27">
        <f>$B$7-G27</f>
        <v/>
      </c>
      <c r="I27">
        <f>C27+F27</f>
        <v/>
      </c>
    </row>
    <row r="28">
      <c r="A28" t="n">
        <v>14</v>
      </c>
      <c r="B28" t="inlineStr">
        <is>
          <t>04-2027</t>
        </is>
      </c>
      <c r="C28">
        <f>MAX(0,MIN($B$10,$B$3-D27-$B$4))</f>
        <v/>
      </c>
      <c r="D28">
        <f>D27+C28</f>
        <v/>
      </c>
      <c r="E28">
        <f>$B$3-D28</f>
        <v/>
      </c>
      <c r="F28">
        <f>MAX(0,MIN($B$11,$B$7-G27-$B$8))</f>
        <v/>
      </c>
      <c r="G28">
        <f>G27+F28</f>
        <v/>
      </c>
      <c r="H28">
        <f>$B$7-G28</f>
        <v/>
      </c>
      <c r="I28">
        <f>C28+F28</f>
        <v/>
      </c>
    </row>
    <row r="29">
      <c r="A29" t="n">
        <v>15</v>
      </c>
      <c r="B29" t="inlineStr">
        <is>
          <t>05-2027</t>
        </is>
      </c>
      <c r="C29">
        <f>MAX(0,MIN($B$10,$B$3-D28-$B$4))</f>
        <v/>
      </c>
      <c r="D29">
        <f>D28+C29</f>
        <v/>
      </c>
      <c r="E29">
        <f>$B$3-D29</f>
        <v/>
      </c>
      <c r="F29">
        <f>MAX(0,MIN($B$11,$B$7-G28-$B$8))</f>
        <v/>
      </c>
      <c r="G29">
        <f>G28+F29</f>
        <v/>
      </c>
      <c r="H29">
        <f>$B$7-G29</f>
        <v/>
      </c>
      <c r="I29">
        <f>C29+F29</f>
        <v/>
      </c>
    </row>
    <row r="30">
      <c r="A30" t="n">
        <v>16</v>
      </c>
      <c r="B30" t="inlineStr">
        <is>
          <t>06-2027</t>
        </is>
      </c>
      <c r="C30">
        <f>MAX(0,MIN($B$10,$B$3-D29-$B$4))</f>
        <v/>
      </c>
      <c r="D30">
        <f>D29+C30</f>
        <v/>
      </c>
      <c r="E30">
        <f>$B$3-D30</f>
        <v/>
      </c>
      <c r="F30">
        <f>MAX(0,MIN($B$11,$B$7-G29-$B$8))</f>
        <v/>
      </c>
      <c r="G30">
        <f>G29+F30</f>
        <v/>
      </c>
      <c r="H30">
        <f>$B$7-G30</f>
        <v/>
      </c>
      <c r="I30">
        <f>C30+F30</f>
        <v/>
      </c>
    </row>
    <row r="31">
      <c r="A31" t="n">
        <v>17</v>
      </c>
      <c r="B31" t="inlineStr">
        <is>
          <t>07-2027</t>
        </is>
      </c>
      <c r="C31">
        <f>MAX(0,MIN($B$10,$B$3-D30-$B$4))</f>
        <v/>
      </c>
      <c r="D31">
        <f>D30+C31</f>
        <v/>
      </c>
      <c r="E31">
        <f>$B$3-D31</f>
        <v/>
      </c>
      <c r="F31">
        <f>MAX(0,MIN($B$11,$B$7-G30-$B$8))</f>
        <v/>
      </c>
      <c r="G31">
        <f>G30+F31</f>
        <v/>
      </c>
      <c r="H31">
        <f>$B$7-G31</f>
        <v/>
      </c>
      <c r="I31">
        <f>C31+F31</f>
        <v/>
      </c>
    </row>
    <row r="32">
      <c r="A32" t="n">
        <v>18</v>
      </c>
      <c r="B32" t="inlineStr">
        <is>
          <t>08-2027</t>
        </is>
      </c>
      <c r="C32">
        <f>MAX(0,MIN($B$10,$B$3-D31-$B$4))</f>
        <v/>
      </c>
      <c r="D32">
        <f>D31+C32</f>
        <v/>
      </c>
      <c r="E32">
        <f>$B$3-D32</f>
        <v/>
      </c>
      <c r="F32">
        <f>MAX(0,MIN($B$11,$B$7-G31-$B$8))</f>
        <v/>
      </c>
      <c r="G32">
        <f>G31+F32</f>
        <v/>
      </c>
      <c r="H32">
        <f>$B$7-G32</f>
        <v/>
      </c>
      <c r="I32">
        <f>C32+F32</f>
        <v/>
      </c>
    </row>
    <row r="33">
      <c r="A33" t="n">
        <v>19</v>
      </c>
      <c r="B33" t="inlineStr">
        <is>
          <t>09-2027</t>
        </is>
      </c>
      <c r="C33">
        <f>MAX(0,MIN($B$10,$B$3-D32-$B$4))</f>
        <v/>
      </c>
      <c r="D33">
        <f>D32+C33</f>
        <v/>
      </c>
      <c r="E33">
        <f>$B$3-D33</f>
        <v/>
      </c>
      <c r="F33">
        <f>MAX(0,MIN($B$11,$B$7-G32-$B$8))</f>
        <v/>
      </c>
      <c r="G33">
        <f>G32+F33</f>
        <v/>
      </c>
      <c r="H33">
        <f>$B$7-G33</f>
        <v/>
      </c>
      <c r="I33">
        <f>C33+F33</f>
        <v/>
      </c>
    </row>
    <row r="34">
      <c r="A34" t="n">
        <v>20</v>
      </c>
      <c r="B34" t="inlineStr">
        <is>
          <t>10-2027</t>
        </is>
      </c>
      <c r="C34">
        <f>MAX(0,MIN($B$10,$B$3-D33-$B$4))</f>
        <v/>
      </c>
      <c r="D34">
        <f>D33+C34</f>
        <v/>
      </c>
      <c r="E34">
        <f>$B$3-D34</f>
        <v/>
      </c>
      <c r="F34">
        <f>MAX(0,MIN($B$11,$B$7-G33-$B$8))</f>
        <v/>
      </c>
      <c r="G34">
        <f>G33+F34</f>
        <v/>
      </c>
      <c r="H34">
        <f>$B$7-G34</f>
        <v/>
      </c>
      <c r="I34">
        <f>C34+F34</f>
        <v/>
      </c>
    </row>
    <row r="35">
      <c r="A35" t="n">
        <v>21</v>
      </c>
      <c r="B35" t="inlineStr">
        <is>
          <t>11-2027</t>
        </is>
      </c>
      <c r="C35">
        <f>MAX(0,MIN($B$10,$B$3-D34-$B$4))</f>
        <v/>
      </c>
      <c r="D35">
        <f>D34+C35</f>
        <v/>
      </c>
      <c r="E35">
        <f>$B$3-D35</f>
        <v/>
      </c>
      <c r="F35">
        <f>MAX(0,MIN($B$11,$B$7-G34-$B$8))</f>
        <v/>
      </c>
      <c r="G35">
        <f>G34+F35</f>
        <v/>
      </c>
      <c r="H35">
        <f>$B$7-G35</f>
        <v/>
      </c>
      <c r="I35">
        <f>C35+F35</f>
        <v/>
      </c>
    </row>
    <row r="36">
      <c r="A36" t="n">
        <v>22</v>
      </c>
      <c r="B36" t="inlineStr">
        <is>
          <t>12-2027</t>
        </is>
      </c>
      <c r="C36">
        <f>MAX(0,MIN($B$10,$B$3-D35-$B$4))</f>
        <v/>
      </c>
      <c r="D36">
        <f>D35+C36</f>
        <v/>
      </c>
      <c r="E36">
        <f>$B$3-D36</f>
        <v/>
      </c>
      <c r="F36">
        <f>MAX(0,MIN($B$11,$B$7-G35-$B$8))</f>
        <v/>
      </c>
      <c r="G36">
        <f>G35+F36</f>
        <v/>
      </c>
      <c r="H36">
        <f>$B$7-G36</f>
        <v/>
      </c>
      <c r="I36">
        <f>C36+F36</f>
        <v/>
      </c>
    </row>
    <row r="37">
      <c r="A37" t="n">
        <v>23</v>
      </c>
      <c r="B37" t="inlineStr">
        <is>
          <t>01-2028</t>
        </is>
      </c>
      <c r="C37">
        <f>MAX(0,MIN($B$10,$B$3-D36-$B$4))</f>
        <v/>
      </c>
      <c r="D37">
        <f>D36+C37</f>
        <v/>
      </c>
      <c r="E37">
        <f>$B$3-D37</f>
        <v/>
      </c>
      <c r="F37">
        <f>MAX(0,MIN($B$11,$B$7-G36-$B$8))</f>
        <v/>
      </c>
      <c r="G37">
        <f>G36+F37</f>
        <v/>
      </c>
      <c r="H37">
        <f>$B$7-G37</f>
        <v/>
      </c>
      <c r="I37">
        <f>C37+F37</f>
        <v/>
      </c>
    </row>
    <row r="38">
      <c r="A38" t="n">
        <v>24</v>
      </c>
      <c r="B38" t="inlineStr">
        <is>
          <t>02-2028</t>
        </is>
      </c>
      <c r="C38">
        <f>MAX(0,MIN($B$10,$B$3-D37-$B$4))</f>
        <v/>
      </c>
      <c r="D38">
        <f>D37+C38</f>
        <v/>
      </c>
      <c r="E38">
        <f>$B$3-D38</f>
        <v/>
      </c>
      <c r="F38">
        <f>MAX(0,MIN($B$11,$B$7-G37-$B$8))</f>
        <v/>
      </c>
      <c r="G38">
        <f>G37+F38</f>
        <v/>
      </c>
      <c r="H38">
        <f>$B$7-G38</f>
        <v/>
      </c>
      <c r="I38">
        <f>C38+F38</f>
        <v/>
      </c>
    </row>
    <row r="39">
      <c r="A39" t="n">
        <v>25</v>
      </c>
      <c r="B39" t="inlineStr">
        <is>
          <t>03-2028</t>
        </is>
      </c>
      <c r="C39">
        <f>MAX(0,MIN($B$10,$B$3-D38-$B$4))</f>
        <v/>
      </c>
      <c r="D39">
        <f>D38+C39</f>
        <v/>
      </c>
      <c r="E39">
        <f>$B$3-D39</f>
        <v/>
      </c>
      <c r="F39">
        <f>MAX(0,MIN($B$11,$B$7-G38-$B$8))</f>
        <v/>
      </c>
      <c r="G39">
        <f>G38+F39</f>
        <v/>
      </c>
      <c r="H39">
        <f>$B$7-G39</f>
        <v/>
      </c>
      <c r="I39">
        <f>C39+F39</f>
        <v/>
      </c>
    </row>
    <row r="40">
      <c r="A40" t="n">
        <v>26</v>
      </c>
      <c r="B40" t="inlineStr">
        <is>
          <t>04-2028</t>
        </is>
      </c>
      <c r="C40">
        <f>MAX(0,MIN($B$10,$B$3-D39-$B$4))</f>
        <v/>
      </c>
      <c r="D40">
        <f>D39+C40</f>
        <v/>
      </c>
      <c r="E40">
        <f>$B$3-D40</f>
        <v/>
      </c>
      <c r="F40">
        <f>MAX(0,MIN($B$11,$B$7-G39-$B$8))</f>
        <v/>
      </c>
      <c r="G40">
        <f>G39+F40</f>
        <v/>
      </c>
      <c r="H40">
        <f>$B$7-G40</f>
        <v/>
      </c>
      <c r="I40">
        <f>C40+F40</f>
        <v/>
      </c>
    </row>
    <row r="41">
      <c r="A41" t="n">
        <v>27</v>
      </c>
      <c r="B41" t="inlineStr">
        <is>
          <t>05-2028</t>
        </is>
      </c>
      <c r="C41">
        <f>MAX(0,MIN($B$10,$B$3-D40-$B$4))</f>
        <v/>
      </c>
      <c r="D41">
        <f>D40+C41</f>
        <v/>
      </c>
      <c r="E41">
        <f>$B$3-D41</f>
        <v/>
      </c>
      <c r="F41">
        <f>MAX(0,MIN($B$11,$B$7-G40-$B$8))</f>
        <v/>
      </c>
      <c r="G41">
        <f>G40+F41</f>
        <v/>
      </c>
      <c r="H41">
        <f>$B$7-G41</f>
        <v/>
      </c>
      <c r="I41">
        <f>C41+F41</f>
        <v/>
      </c>
    </row>
    <row r="42">
      <c r="A42" t="n">
        <v>28</v>
      </c>
      <c r="B42" t="inlineStr">
        <is>
          <t>06-2028</t>
        </is>
      </c>
      <c r="C42">
        <f>MAX(0,MIN($B$10,$B$3-D41-$B$4))</f>
        <v/>
      </c>
      <c r="D42">
        <f>D41+C42</f>
        <v/>
      </c>
      <c r="E42">
        <f>$B$3-D42</f>
        <v/>
      </c>
      <c r="F42">
        <f>MAX(0,MIN($B$11,$B$7-G41-$B$8))</f>
        <v/>
      </c>
      <c r="G42">
        <f>G41+F42</f>
        <v/>
      </c>
      <c r="H42">
        <f>$B$7-G42</f>
        <v/>
      </c>
      <c r="I42">
        <f>C42+F42</f>
        <v/>
      </c>
    </row>
    <row r="43">
      <c r="A43" t="n">
        <v>29</v>
      </c>
      <c r="B43" t="inlineStr">
        <is>
          <t>07-2028</t>
        </is>
      </c>
      <c r="C43">
        <f>MAX(0,MIN($B$10,$B$3-D42-$B$4))</f>
        <v/>
      </c>
      <c r="D43">
        <f>D42+C43</f>
        <v/>
      </c>
      <c r="E43">
        <f>$B$3-D43</f>
        <v/>
      </c>
      <c r="F43">
        <f>MAX(0,MIN($B$11,$B$7-G42-$B$8))</f>
        <v/>
      </c>
      <c r="G43">
        <f>G42+F43</f>
        <v/>
      </c>
      <c r="H43">
        <f>$B$7-G43</f>
        <v/>
      </c>
      <c r="I43">
        <f>C43+F43</f>
        <v/>
      </c>
    </row>
    <row r="44">
      <c r="A44" t="n">
        <v>30</v>
      </c>
      <c r="B44" t="inlineStr">
        <is>
          <t>08-2028</t>
        </is>
      </c>
      <c r="C44">
        <f>MAX(0,MIN($B$10,$B$3-D43-$B$4))</f>
        <v/>
      </c>
      <c r="D44">
        <f>D43+C44</f>
        <v/>
      </c>
      <c r="E44">
        <f>$B$3-D44</f>
        <v/>
      </c>
      <c r="F44">
        <f>MAX(0,MIN($B$11,$B$7-G43-$B$8))</f>
        <v/>
      </c>
      <c r="G44">
        <f>G43+F44</f>
        <v/>
      </c>
      <c r="H44">
        <f>$B$7-G44</f>
        <v/>
      </c>
      <c r="I44">
        <f>C44+F44</f>
        <v/>
      </c>
    </row>
    <row r="45">
      <c r="A45" t="n">
        <v>31</v>
      </c>
      <c r="B45" t="inlineStr">
        <is>
          <t>09-2028</t>
        </is>
      </c>
      <c r="C45">
        <f>MAX(0,MIN($B$10,$B$3-D44-$B$4))</f>
        <v/>
      </c>
      <c r="D45">
        <f>D44+C45</f>
        <v/>
      </c>
      <c r="E45">
        <f>$B$3-D45</f>
        <v/>
      </c>
      <c r="F45">
        <f>MAX(0,MIN($B$11,$B$7-G44-$B$8))</f>
        <v/>
      </c>
      <c r="G45">
        <f>G44+F45</f>
        <v/>
      </c>
      <c r="H45">
        <f>$B$7-G45</f>
        <v/>
      </c>
      <c r="I45">
        <f>C45+F45</f>
        <v/>
      </c>
    </row>
    <row r="46">
      <c r="A46" t="n">
        <v>32</v>
      </c>
      <c r="B46" t="inlineStr">
        <is>
          <t>10-2028</t>
        </is>
      </c>
      <c r="C46">
        <f>MAX(0,MIN($B$10,$B$3-D45-$B$4))</f>
        <v/>
      </c>
      <c r="D46">
        <f>D45+C46</f>
        <v/>
      </c>
      <c r="E46">
        <f>$B$3-D46</f>
        <v/>
      </c>
      <c r="F46">
        <f>MAX(0,MIN($B$11,$B$7-G45-$B$8))</f>
        <v/>
      </c>
      <c r="G46">
        <f>G45+F46</f>
        <v/>
      </c>
      <c r="H46">
        <f>$B$7-G46</f>
        <v/>
      </c>
      <c r="I46">
        <f>C46+F46</f>
        <v/>
      </c>
    </row>
    <row r="47">
      <c r="A47" t="n">
        <v>33</v>
      </c>
      <c r="B47" t="inlineStr">
        <is>
          <t>11-2028</t>
        </is>
      </c>
      <c r="C47">
        <f>MAX(0,MIN($B$10,$B$3-D46-$B$4))</f>
        <v/>
      </c>
      <c r="D47">
        <f>D46+C47</f>
        <v/>
      </c>
      <c r="E47">
        <f>$B$3-D47</f>
        <v/>
      </c>
      <c r="F47">
        <f>MAX(0,MIN($B$11,$B$7-G46-$B$8))</f>
        <v/>
      </c>
      <c r="G47">
        <f>G46+F47</f>
        <v/>
      </c>
      <c r="H47">
        <f>$B$7-G47</f>
        <v/>
      </c>
      <c r="I47">
        <f>C47+F47</f>
        <v/>
      </c>
    </row>
    <row r="48">
      <c r="A48" t="n">
        <v>34</v>
      </c>
      <c r="B48" t="inlineStr">
        <is>
          <t>12-2028</t>
        </is>
      </c>
      <c r="C48">
        <f>MAX(0,MIN($B$10,$B$3-D47-$B$4))</f>
        <v/>
      </c>
      <c r="D48">
        <f>D47+C48</f>
        <v/>
      </c>
      <c r="E48">
        <f>$B$3-D48</f>
        <v/>
      </c>
      <c r="F48">
        <f>MAX(0,MIN($B$11,$B$7-G47-$B$8))</f>
        <v/>
      </c>
      <c r="G48">
        <f>G47+F48</f>
        <v/>
      </c>
      <c r="H48">
        <f>$B$7-G48</f>
        <v/>
      </c>
      <c r="I48">
        <f>C48+F48</f>
        <v/>
      </c>
    </row>
    <row r="49">
      <c r="A49" t="n">
        <v>35</v>
      </c>
      <c r="B49" t="inlineStr">
        <is>
          <t>01-2029</t>
        </is>
      </c>
      <c r="C49">
        <f>MAX(0,MIN($B$10,$B$3-D48-$B$4))</f>
        <v/>
      </c>
      <c r="D49">
        <f>D48+C49</f>
        <v/>
      </c>
      <c r="E49">
        <f>$B$3-D49</f>
        <v/>
      </c>
      <c r="F49">
        <f>MAX(0,MIN($B$11,$B$7-G48-$B$8))</f>
        <v/>
      </c>
      <c r="G49">
        <f>G48+F49</f>
        <v/>
      </c>
      <c r="H49">
        <f>$B$7-G49</f>
        <v/>
      </c>
      <c r="I49">
        <f>C49+F49</f>
        <v/>
      </c>
    </row>
    <row r="50">
      <c r="A50" t="n">
        <v>36</v>
      </c>
      <c r="B50" t="inlineStr">
        <is>
          <t>02-2029</t>
        </is>
      </c>
      <c r="C50">
        <f>MAX(0,MIN($B$10,$B$3-D49-$B$4))</f>
        <v/>
      </c>
      <c r="D50">
        <f>D49+C50</f>
        <v/>
      </c>
      <c r="E50">
        <f>$B$3-D50</f>
        <v/>
      </c>
      <c r="F50">
        <f>MAX(0,MIN($B$11,$B$7-G49-$B$8))</f>
        <v/>
      </c>
      <c r="G50">
        <f>G49+F50</f>
        <v/>
      </c>
      <c r="H50">
        <f>$B$7-G50</f>
        <v/>
      </c>
      <c r="I50">
        <f>C50+F50</f>
        <v/>
      </c>
    </row>
    <row r="51">
      <c r="A51" t="n">
        <v>37</v>
      </c>
      <c r="B51" t="inlineStr">
        <is>
          <t>03-2029</t>
        </is>
      </c>
      <c r="C51">
        <f>MAX(0,MIN($B$10,$B$3-D50-$B$4))</f>
        <v/>
      </c>
      <c r="D51">
        <f>D50+C51</f>
        <v/>
      </c>
      <c r="E51">
        <f>$B$3-D51</f>
        <v/>
      </c>
      <c r="F51">
        <f>MAX(0,MIN($B$11,$B$7-G50-$B$8))</f>
        <v/>
      </c>
      <c r="G51">
        <f>G50+F51</f>
        <v/>
      </c>
      <c r="H51">
        <f>$B$7-G51</f>
        <v/>
      </c>
      <c r="I51">
        <f>C51+F51</f>
        <v/>
      </c>
    </row>
    <row r="52">
      <c r="A52" t="n">
        <v>38</v>
      </c>
      <c r="B52" t="inlineStr">
        <is>
          <t>04-2029</t>
        </is>
      </c>
      <c r="C52">
        <f>MAX(0,MIN($B$10,$B$3-D51-$B$4))</f>
        <v/>
      </c>
      <c r="D52">
        <f>D51+C52</f>
        <v/>
      </c>
      <c r="E52">
        <f>$B$3-D52</f>
        <v/>
      </c>
      <c r="F52">
        <f>MAX(0,MIN($B$11,$B$7-G51-$B$8))</f>
        <v/>
      </c>
      <c r="G52">
        <f>G51+F52</f>
        <v/>
      </c>
      <c r="H52">
        <f>$B$7-G52</f>
        <v/>
      </c>
      <c r="I52">
        <f>C52+F52</f>
        <v/>
      </c>
    </row>
    <row r="53">
      <c r="A53" t="n">
        <v>39</v>
      </c>
      <c r="B53" t="inlineStr">
        <is>
          <t>05-2029</t>
        </is>
      </c>
      <c r="C53">
        <f>MAX(0,MIN($B$10,$B$3-D52-$B$4))</f>
        <v/>
      </c>
      <c r="D53">
        <f>D52+C53</f>
        <v/>
      </c>
      <c r="E53">
        <f>$B$3-D53</f>
        <v/>
      </c>
      <c r="F53">
        <f>MAX(0,MIN($B$11,$B$7-G52-$B$8))</f>
        <v/>
      </c>
      <c r="G53">
        <f>G52+F53</f>
        <v/>
      </c>
      <c r="H53">
        <f>$B$7-G53</f>
        <v/>
      </c>
      <c r="I53">
        <f>C53+F53</f>
        <v/>
      </c>
    </row>
    <row r="54">
      <c r="A54" t="n">
        <v>40</v>
      </c>
      <c r="B54" t="inlineStr">
        <is>
          <t>06-2029</t>
        </is>
      </c>
      <c r="C54">
        <f>MAX(0,MIN($B$10,$B$3-D53-$B$4))</f>
        <v/>
      </c>
      <c r="D54">
        <f>D53+C54</f>
        <v/>
      </c>
      <c r="E54">
        <f>$B$3-D54</f>
        <v/>
      </c>
      <c r="F54">
        <f>MAX(0,MIN($B$11,$B$7-G53-$B$8))</f>
        <v/>
      </c>
      <c r="G54">
        <f>G53+F54</f>
        <v/>
      </c>
      <c r="H54">
        <f>$B$7-G54</f>
        <v/>
      </c>
      <c r="I54">
        <f>C54+F54</f>
        <v/>
      </c>
    </row>
    <row r="55">
      <c r="A55" t="n">
        <v>41</v>
      </c>
      <c r="B55" t="inlineStr">
        <is>
          <t>07-2029</t>
        </is>
      </c>
      <c r="C55">
        <f>MAX(0,MIN($B$10,$B$3-D54-$B$4))</f>
        <v/>
      </c>
      <c r="D55">
        <f>D54+C55</f>
        <v/>
      </c>
      <c r="E55">
        <f>$B$3-D55</f>
        <v/>
      </c>
      <c r="F55">
        <f>MAX(0,MIN($B$11,$B$7-G54-$B$8))</f>
        <v/>
      </c>
      <c r="G55">
        <f>G54+F55</f>
        <v/>
      </c>
      <c r="H55">
        <f>$B$7-G55</f>
        <v/>
      </c>
      <c r="I55">
        <f>C55+F55</f>
        <v/>
      </c>
    </row>
    <row r="56">
      <c r="A56" t="n">
        <v>42</v>
      </c>
      <c r="B56" t="inlineStr">
        <is>
          <t>08-2029</t>
        </is>
      </c>
      <c r="C56">
        <f>MAX(0,MIN($B$10,$B$3-D55-$B$4))</f>
        <v/>
      </c>
      <c r="D56">
        <f>D55+C56</f>
        <v/>
      </c>
      <c r="E56">
        <f>$B$3-D56</f>
        <v/>
      </c>
      <c r="F56">
        <f>MAX(0,MIN($B$11,$B$7-G55-$B$8))</f>
        <v/>
      </c>
      <c r="G56">
        <f>G55+F56</f>
        <v/>
      </c>
      <c r="H56">
        <f>$B$7-G56</f>
        <v/>
      </c>
      <c r="I56">
        <f>C56+F56</f>
        <v/>
      </c>
    </row>
    <row r="57">
      <c r="A57" t="n">
        <v>43</v>
      </c>
      <c r="B57" t="inlineStr">
        <is>
          <t>09-2029</t>
        </is>
      </c>
      <c r="C57">
        <f>MAX(0,MIN($B$10,$B$3-D56-$B$4))</f>
        <v/>
      </c>
      <c r="D57">
        <f>D56+C57</f>
        <v/>
      </c>
      <c r="E57">
        <f>$B$3-D57</f>
        <v/>
      </c>
      <c r="F57">
        <f>MAX(0,MIN($B$11,$B$7-G56-$B$8))</f>
        <v/>
      </c>
      <c r="G57">
        <f>G56+F57</f>
        <v/>
      </c>
      <c r="H57">
        <f>$B$7-G57</f>
        <v/>
      </c>
      <c r="I57">
        <f>C57+F57</f>
        <v/>
      </c>
    </row>
    <row r="58">
      <c r="A58" t="n">
        <v>44</v>
      </c>
      <c r="B58" t="inlineStr">
        <is>
          <t>10-2029</t>
        </is>
      </c>
      <c r="C58">
        <f>MAX(0,MIN($B$10,$B$3-D57-$B$4))</f>
        <v/>
      </c>
      <c r="D58">
        <f>D57+C58</f>
        <v/>
      </c>
      <c r="E58">
        <f>$B$3-D58</f>
        <v/>
      </c>
      <c r="F58">
        <f>MAX(0,MIN($B$11,$B$7-G57-$B$8))</f>
        <v/>
      </c>
      <c r="G58">
        <f>G57+F58</f>
        <v/>
      </c>
      <c r="H58">
        <f>$B$7-G58</f>
        <v/>
      </c>
      <c r="I58">
        <f>C58+F58</f>
        <v/>
      </c>
    </row>
    <row r="59">
      <c r="A59" t="n">
        <v>45</v>
      </c>
      <c r="B59" t="inlineStr">
        <is>
          <t>11-2029</t>
        </is>
      </c>
      <c r="C59">
        <f>MAX(0,MIN($B$10,$B$3-D58-$B$4))</f>
        <v/>
      </c>
      <c r="D59">
        <f>D58+C59</f>
        <v/>
      </c>
      <c r="E59">
        <f>$B$3-D59</f>
        <v/>
      </c>
      <c r="F59">
        <f>MAX(0,MIN($B$11,$B$7-G58-$B$8))</f>
        <v/>
      </c>
      <c r="G59">
        <f>G58+F59</f>
        <v/>
      </c>
      <c r="H59">
        <f>$B$7-G59</f>
        <v/>
      </c>
      <c r="I59">
        <f>C59+F59</f>
        <v/>
      </c>
    </row>
    <row r="60">
      <c r="A60" t="n">
        <v>46</v>
      </c>
      <c r="B60" t="inlineStr">
        <is>
          <t>12-2029</t>
        </is>
      </c>
      <c r="C60">
        <f>MAX(0,MIN($B$10,$B$3-D59-$B$4))</f>
        <v/>
      </c>
      <c r="D60">
        <f>D59+C60</f>
        <v/>
      </c>
      <c r="E60">
        <f>$B$3-D60</f>
        <v/>
      </c>
      <c r="F60">
        <f>MAX(0,MIN($B$11,$B$7-G59-$B$8))</f>
        <v/>
      </c>
      <c r="G60">
        <f>G59+F60</f>
        <v/>
      </c>
      <c r="H60">
        <f>$B$7-G60</f>
        <v/>
      </c>
      <c r="I60">
        <f>C60+F60</f>
        <v/>
      </c>
    </row>
    <row r="61">
      <c r="A61" t="n">
        <v>47</v>
      </c>
      <c r="B61" t="inlineStr">
        <is>
          <t>01-2030</t>
        </is>
      </c>
      <c r="C61">
        <f>MAX(0,MIN($B$10,$B$3-D60-$B$4))</f>
        <v/>
      </c>
      <c r="D61">
        <f>D60+C61</f>
        <v/>
      </c>
      <c r="E61">
        <f>$B$3-D61</f>
        <v/>
      </c>
      <c r="F61">
        <f>MAX(0,MIN($B$11,$B$7-G60-$B$8))</f>
        <v/>
      </c>
      <c r="G61">
        <f>G60+F61</f>
        <v/>
      </c>
      <c r="H61">
        <f>$B$7-G61</f>
        <v/>
      </c>
      <c r="I61">
        <f>C61+F61</f>
        <v/>
      </c>
    </row>
    <row r="62">
      <c r="A62" t="n">
        <v>48</v>
      </c>
      <c r="B62" t="inlineStr">
        <is>
          <t>02-2030</t>
        </is>
      </c>
      <c r="C62">
        <f>MAX(0,MIN($B$10,$B$3-D61-$B$4))</f>
        <v/>
      </c>
      <c r="D62">
        <f>D61+C62</f>
        <v/>
      </c>
      <c r="E62">
        <f>$B$3-D62</f>
        <v/>
      </c>
      <c r="F62">
        <f>MAX(0,MIN($B$11,$B$7-G61-$B$8))</f>
        <v/>
      </c>
      <c r="G62">
        <f>G61+F62</f>
        <v/>
      </c>
      <c r="H62">
        <f>$B$7-G62</f>
        <v/>
      </c>
      <c r="I62">
        <f>C62+F62</f>
        <v/>
      </c>
    </row>
    <row r="63">
      <c r="A63" t="n">
        <v>49</v>
      </c>
      <c r="B63" t="inlineStr">
        <is>
          <t>03-2030</t>
        </is>
      </c>
      <c r="C63">
        <f>MAX(0,MIN($B$10,$B$3-D62-$B$4))</f>
        <v/>
      </c>
      <c r="D63">
        <f>D62+C63</f>
        <v/>
      </c>
      <c r="E63">
        <f>$B$3-D63</f>
        <v/>
      </c>
      <c r="F63">
        <f>MAX(0,MIN($B$11,$B$7-G62-$B$8))</f>
        <v/>
      </c>
      <c r="G63">
        <f>G62+F63</f>
        <v/>
      </c>
      <c r="H63">
        <f>$B$7-G63</f>
        <v/>
      </c>
      <c r="I63">
        <f>C63+F63</f>
        <v/>
      </c>
    </row>
    <row r="64">
      <c r="A64" t="n">
        <v>50</v>
      </c>
      <c r="B64" t="inlineStr">
        <is>
          <t>04-2030</t>
        </is>
      </c>
      <c r="C64">
        <f>MAX(0,MIN($B$10,$B$3-D63-$B$4))</f>
        <v/>
      </c>
      <c r="D64">
        <f>D63+C64</f>
        <v/>
      </c>
      <c r="E64">
        <f>$B$3-D64</f>
        <v/>
      </c>
      <c r="F64">
        <f>MAX(0,MIN($B$11,$B$7-G63-$B$8))</f>
        <v/>
      </c>
      <c r="G64">
        <f>G63+F64</f>
        <v/>
      </c>
      <c r="H64">
        <f>$B$7-G64</f>
        <v/>
      </c>
      <c r="I64">
        <f>C64+F64</f>
        <v/>
      </c>
    </row>
    <row r="65">
      <c r="A65" t="n">
        <v>51</v>
      </c>
      <c r="B65" t="inlineStr">
        <is>
          <t>05-2030</t>
        </is>
      </c>
      <c r="C65">
        <f>MAX(0,MIN($B$10,$B$3-D64-$B$4))</f>
        <v/>
      </c>
      <c r="D65">
        <f>D64+C65</f>
        <v/>
      </c>
      <c r="E65">
        <f>$B$3-D65</f>
        <v/>
      </c>
      <c r="F65">
        <f>MAX(0,MIN($B$11,$B$7-G64-$B$8))</f>
        <v/>
      </c>
      <c r="G65">
        <f>G64+F65</f>
        <v/>
      </c>
      <c r="H65">
        <f>$B$7-G65</f>
        <v/>
      </c>
      <c r="I65">
        <f>C65+F65</f>
        <v/>
      </c>
    </row>
    <row r="66">
      <c r="A66" t="n">
        <v>52</v>
      </c>
      <c r="B66" t="inlineStr">
        <is>
          <t>06-2030</t>
        </is>
      </c>
      <c r="C66">
        <f>MAX(0,MIN($B$10,$B$3-D65-$B$4))</f>
        <v/>
      </c>
      <c r="D66">
        <f>D65+C66</f>
        <v/>
      </c>
      <c r="E66">
        <f>$B$3-D66</f>
        <v/>
      </c>
      <c r="F66">
        <f>MAX(0,MIN($B$11,$B$7-G65-$B$8))</f>
        <v/>
      </c>
      <c r="G66">
        <f>G65+F66</f>
        <v/>
      </c>
      <c r="H66">
        <f>$B$7-G66</f>
        <v/>
      </c>
      <c r="I66">
        <f>C66+F66</f>
        <v/>
      </c>
    </row>
    <row r="67">
      <c r="A67" t="n">
        <v>53</v>
      </c>
      <c r="B67" t="inlineStr">
        <is>
          <t>07-2030</t>
        </is>
      </c>
      <c r="C67">
        <f>MAX(0,MIN($B$10,$B$3-D66-$B$4))</f>
        <v/>
      </c>
      <c r="D67">
        <f>D66+C67</f>
        <v/>
      </c>
      <c r="E67">
        <f>$B$3-D67</f>
        <v/>
      </c>
      <c r="F67">
        <f>MAX(0,MIN($B$11,$B$7-G66-$B$8))</f>
        <v/>
      </c>
      <c r="G67">
        <f>G66+F67</f>
        <v/>
      </c>
      <c r="H67">
        <f>$B$7-G67</f>
        <v/>
      </c>
      <c r="I67">
        <f>C67+F67</f>
        <v/>
      </c>
    </row>
    <row r="68">
      <c r="A68" t="n">
        <v>54</v>
      </c>
      <c r="B68" t="inlineStr">
        <is>
          <t>08-2030</t>
        </is>
      </c>
      <c r="C68">
        <f>MAX(0,MIN($B$10,$B$3-D67-$B$4))</f>
        <v/>
      </c>
      <c r="D68">
        <f>D67+C68</f>
        <v/>
      </c>
      <c r="E68">
        <f>$B$3-D68</f>
        <v/>
      </c>
      <c r="F68">
        <f>MAX(0,MIN($B$11,$B$7-G67-$B$8))</f>
        <v/>
      </c>
      <c r="G68">
        <f>G67+F68</f>
        <v/>
      </c>
      <c r="H68">
        <f>$B$7-G68</f>
        <v/>
      </c>
      <c r="I68">
        <f>C68+F68</f>
        <v/>
      </c>
    </row>
    <row r="69">
      <c r="A69" t="n">
        <v>55</v>
      </c>
      <c r="B69" t="inlineStr">
        <is>
          <t>09-2030</t>
        </is>
      </c>
      <c r="C69">
        <f>MAX(0,MIN($B$10,$B$3-D68-$B$4))</f>
        <v/>
      </c>
      <c r="D69">
        <f>D68+C69</f>
        <v/>
      </c>
      <c r="E69">
        <f>$B$3-D69</f>
        <v/>
      </c>
      <c r="F69">
        <f>MAX(0,MIN($B$11,$B$7-G68-$B$8))</f>
        <v/>
      </c>
      <c r="G69">
        <f>G68+F69</f>
        <v/>
      </c>
      <c r="H69">
        <f>$B$7-G69</f>
        <v/>
      </c>
      <c r="I69">
        <f>C69+F69</f>
        <v/>
      </c>
    </row>
    <row r="70">
      <c r="A70" t="n">
        <v>56</v>
      </c>
      <c r="B70" t="inlineStr">
        <is>
          <t>10-2030</t>
        </is>
      </c>
      <c r="C70">
        <f>MAX(0,MIN($B$10,$B$3-D69-$B$4))</f>
        <v/>
      </c>
      <c r="D70">
        <f>D69+C70</f>
        <v/>
      </c>
      <c r="E70">
        <f>$B$3-D70</f>
        <v/>
      </c>
      <c r="F70">
        <f>MAX(0,MIN($B$11,$B$7-G69-$B$8))</f>
        <v/>
      </c>
      <c r="G70">
        <f>G69+F70</f>
        <v/>
      </c>
      <c r="H70">
        <f>$B$7-G70</f>
        <v/>
      </c>
      <c r="I70">
        <f>C70+F70</f>
        <v/>
      </c>
    </row>
    <row r="71">
      <c r="A71" t="n">
        <v>57</v>
      </c>
      <c r="B71" t="inlineStr">
        <is>
          <t>11-2030</t>
        </is>
      </c>
      <c r="C71">
        <f>MAX(0,MIN($B$10,$B$3-D70-$B$4))</f>
        <v/>
      </c>
      <c r="D71">
        <f>D70+C71</f>
        <v/>
      </c>
      <c r="E71">
        <f>$B$3-D71</f>
        <v/>
      </c>
      <c r="F71">
        <f>MAX(0,MIN($B$11,$B$7-G70-$B$8))</f>
        <v/>
      </c>
      <c r="G71">
        <f>G70+F71</f>
        <v/>
      </c>
      <c r="H71">
        <f>$B$7-G71</f>
        <v/>
      </c>
      <c r="I71">
        <f>C71+F71</f>
        <v/>
      </c>
    </row>
    <row r="72">
      <c r="A72" t="n">
        <v>58</v>
      </c>
      <c r="B72" t="inlineStr">
        <is>
          <t>12-2030</t>
        </is>
      </c>
      <c r="C72">
        <f>MAX(0,MIN($B$10,$B$3-D71-$B$4))</f>
        <v/>
      </c>
      <c r="D72">
        <f>D71+C72</f>
        <v/>
      </c>
      <c r="E72">
        <f>$B$3-D72</f>
        <v/>
      </c>
      <c r="F72">
        <f>MAX(0,MIN($B$11,$B$7-G71-$B$8))</f>
        <v/>
      </c>
      <c r="G72">
        <f>G71+F72</f>
        <v/>
      </c>
      <c r="H72">
        <f>$B$7-G72</f>
        <v/>
      </c>
      <c r="I72">
        <f>C72+F72</f>
        <v/>
      </c>
    </row>
    <row r="73">
      <c r="A73" t="n">
        <v>59</v>
      </c>
      <c r="B73" t="inlineStr">
        <is>
          <t>01-2031</t>
        </is>
      </c>
      <c r="C73">
        <f>MAX(0,MIN($B$10,$B$3-D72-$B$4))</f>
        <v/>
      </c>
      <c r="D73">
        <f>D72+C73</f>
        <v/>
      </c>
      <c r="E73">
        <f>$B$3-D73</f>
        <v/>
      </c>
      <c r="F73">
        <f>MAX(0,MIN($B$11,$B$7-G72-$B$8))</f>
        <v/>
      </c>
      <c r="G73">
        <f>G72+F73</f>
        <v/>
      </c>
      <c r="H73">
        <f>$B$7-G73</f>
        <v/>
      </c>
      <c r="I73">
        <f>C73+F73</f>
        <v/>
      </c>
    </row>
    <row r="74">
      <c r="A74" t="n">
        <v>60</v>
      </c>
      <c r="B74" t="inlineStr">
        <is>
          <t>02-2031</t>
        </is>
      </c>
      <c r="C74">
        <f>MAX(0,MIN($B$10,$B$3-D73-$B$4))</f>
        <v/>
      </c>
      <c r="D74">
        <f>D73+C74</f>
        <v/>
      </c>
      <c r="E74">
        <f>$B$3-D74</f>
        <v/>
      </c>
      <c r="F74">
        <f>MAX(0,MIN($B$11,$B$7-G73-$B$8))</f>
        <v/>
      </c>
      <c r="G74">
        <f>G73+F74</f>
        <v/>
      </c>
      <c r="H74">
        <f>$B$7-G74</f>
        <v/>
      </c>
      <c r="I74">
        <f>C74+F74</f>
        <v/>
      </c>
    </row>
    <row r="75">
      <c r="A75" t="n">
        <v>61</v>
      </c>
      <c r="B75" t="inlineStr">
        <is>
          <t>03-2031</t>
        </is>
      </c>
      <c r="C75">
        <f>MAX(0,MIN($B$10,$B$3-D74-$B$4))</f>
        <v/>
      </c>
      <c r="D75">
        <f>D74+C75</f>
        <v/>
      </c>
      <c r="E75">
        <f>$B$3-D75</f>
        <v/>
      </c>
      <c r="F75">
        <f>MAX(0,MIN($B$11,$B$7-G74-$B$8))</f>
        <v/>
      </c>
      <c r="G75">
        <f>G74+F75</f>
        <v/>
      </c>
      <c r="H75">
        <f>$B$7-G75</f>
        <v/>
      </c>
      <c r="I75">
        <f>C75+F75</f>
        <v/>
      </c>
    </row>
    <row r="76">
      <c r="A76" t="n">
        <v>62</v>
      </c>
      <c r="B76" t="inlineStr">
        <is>
          <t>04-2031</t>
        </is>
      </c>
      <c r="C76">
        <f>MAX(0,MIN($B$10,$B$3-D75-$B$4))</f>
        <v/>
      </c>
      <c r="D76">
        <f>D75+C76</f>
        <v/>
      </c>
      <c r="E76">
        <f>$B$3-D76</f>
        <v/>
      </c>
      <c r="F76">
        <f>MAX(0,MIN($B$11,$B$7-G75-$B$8))</f>
        <v/>
      </c>
      <c r="G76">
        <f>G75+F76</f>
        <v/>
      </c>
      <c r="H76">
        <f>$B$7-G76</f>
        <v/>
      </c>
      <c r="I76">
        <f>C76+F76</f>
        <v/>
      </c>
    </row>
    <row r="77">
      <c r="A77" t="n">
        <v>63</v>
      </c>
      <c r="B77" t="inlineStr">
        <is>
          <t>05-2031</t>
        </is>
      </c>
      <c r="C77">
        <f>MAX(0,MIN($B$10,$B$3-D76-$B$4))</f>
        <v/>
      </c>
      <c r="D77">
        <f>D76+C77</f>
        <v/>
      </c>
      <c r="E77">
        <f>$B$3-D77</f>
        <v/>
      </c>
      <c r="F77">
        <f>MAX(0,MIN($B$11,$B$7-G76-$B$8))</f>
        <v/>
      </c>
      <c r="G77">
        <f>G76+F77</f>
        <v/>
      </c>
      <c r="H77">
        <f>$B$7-G77</f>
        <v/>
      </c>
      <c r="I77">
        <f>C77+F77</f>
        <v/>
      </c>
    </row>
    <row r="78">
      <c r="A78" t="n">
        <v>64</v>
      </c>
      <c r="B78" t="inlineStr">
        <is>
          <t>06-2031</t>
        </is>
      </c>
      <c r="C78">
        <f>MAX(0,MIN($B$10,$B$3-D77-$B$4))</f>
        <v/>
      </c>
      <c r="D78">
        <f>D77+C78</f>
        <v/>
      </c>
      <c r="E78">
        <f>$B$3-D78</f>
        <v/>
      </c>
      <c r="F78">
        <f>MAX(0,MIN($B$11,$B$7-G77-$B$8))</f>
        <v/>
      </c>
      <c r="G78">
        <f>G77+F78</f>
        <v/>
      </c>
      <c r="H78">
        <f>$B$7-G78</f>
        <v/>
      </c>
      <c r="I78">
        <f>C78+F78</f>
        <v/>
      </c>
    </row>
    <row r="79">
      <c r="A79" t="n">
        <v>65</v>
      </c>
      <c r="B79" t="inlineStr">
        <is>
          <t>07-2031</t>
        </is>
      </c>
      <c r="C79">
        <f>MAX(0,MIN($B$10,$B$3-D78-$B$4))</f>
        <v/>
      </c>
      <c r="D79">
        <f>D78+C79</f>
        <v/>
      </c>
      <c r="E79">
        <f>$B$3-D79</f>
        <v/>
      </c>
      <c r="F79">
        <f>MAX(0,MIN($B$11,$B$7-G78-$B$8))</f>
        <v/>
      </c>
      <c r="G79">
        <f>G78+F79</f>
        <v/>
      </c>
      <c r="H79">
        <f>$B$7-G79</f>
        <v/>
      </c>
      <c r="I79">
        <f>C79+F79</f>
        <v/>
      </c>
    </row>
    <row r="80">
      <c r="A80" t="n">
        <v>66</v>
      </c>
      <c r="B80" t="inlineStr">
        <is>
          <t>08-2031</t>
        </is>
      </c>
      <c r="C80">
        <f>MAX(0,MIN($B$10,$B$3-D79-$B$4))</f>
        <v/>
      </c>
      <c r="D80">
        <f>D79+C80</f>
        <v/>
      </c>
      <c r="E80">
        <f>$B$3-D80</f>
        <v/>
      </c>
      <c r="F80">
        <f>MAX(0,MIN($B$11,$B$7-G79-$B$8))</f>
        <v/>
      </c>
      <c r="G80">
        <f>G79+F80</f>
        <v/>
      </c>
      <c r="H80">
        <f>$B$7-G80</f>
        <v/>
      </c>
      <c r="I80">
        <f>C80+F80</f>
        <v/>
      </c>
    </row>
    <row r="81">
      <c r="A81" t="n">
        <v>67</v>
      </c>
      <c r="B81" t="inlineStr">
        <is>
          <t>09-2031</t>
        </is>
      </c>
      <c r="C81">
        <f>MAX(0,MIN($B$10,$B$3-D80-$B$4))</f>
        <v/>
      </c>
      <c r="D81">
        <f>D80+C81</f>
        <v/>
      </c>
      <c r="E81">
        <f>$B$3-D81</f>
        <v/>
      </c>
      <c r="F81">
        <f>MAX(0,MIN($B$11,$B$7-G80-$B$8))</f>
        <v/>
      </c>
      <c r="G81">
        <f>G80+F81</f>
        <v/>
      </c>
      <c r="H81">
        <f>$B$7-G81</f>
        <v/>
      </c>
      <c r="I81">
        <f>C81+F81</f>
        <v/>
      </c>
    </row>
    <row r="82">
      <c r="A82" t="n">
        <v>68</v>
      </c>
      <c r="B82" t="inlineStr">
        <is>
          <t>10-2031</t>
        </is>
      </c>
      <c r="C82">
        <f>MAX(0,MIN($B$10,$B$3-D81-$B$4))</f>
        <v/>
      </c>
      <c r="D82">
        <f>D81+C82</f>
        <v/>
      </c>
      <c r="E82">
        <f>$B$3-D82</f>
        <v/>
      </c>
      <c r="F82">
        <f>MAX(0,MIN($B$11,$B$7-G81-$B$8))</f>
        <v/>
      </c>
      <c r="G82">
        <f>G81+F82</f>
        <v/>
      </c>
      <c r="H82">
        <f>$B$7-G82</f>
        <v/>
      </c>
      <c r="I82">
        <f>C82+F82</f>
        <v/>
      </c>
    </row>
    <row r="83">
      <c r="A83" t="n">
        <v>69</v>
      </c>
      <c r="B83" t="inlineStr">
        <is>
          <t>11-2031</t>
        </is>
      </c>
      <c r="C83">
        <f>MAX(0,MIN($B$10,$B$3-D82-$B$4))</f>
        <v/>
      </c>
      <c r="D83">
        <f>D82+C83</f>
        <v/>
      </c>
      <c r="E83">
        <f>$B$3-D83</f>
        <v/>
      </c>
      <c r="F83">
        <f>MAX(0,MIN($B$11,$B$7-G82-$B$8))</f>
        <v/>
      </c>
      <c r="G83">
        <f>G82+F83</f>
        <v/>
      </c>
      <c r="H83">
        <f>$B$7-G83</f>
        <v/>
      </c>
      <c r="I83">
        <f>C83+F83</f>
        <v/>
      </c>
    </row>
    <row r="84">
      <c r="A84" t="n">
        <v>70</v>
      </c>
      <c r="B84" t="inlineStr">
        <is>
          <t>12-2031</t>
        </is>
      </c>
      <c r="C84">
        <f>MAX(0,MIN($B$10,$B$3-D83-$B$4))</f>
        <v/>
      </c>
      <c r="D84">
        <f>D83+C84</f>
        <v/>
      </c>
      <c r="E84">
        <f>$B$3-D84</f>
        <v/>
      </c>
      <c r="F84">
        <f>MAX(0,MIN($B$11,$B$7-G83-$B$8))</f>
        <v/>
      </c>
      <c r="G84">
        <f>G83+F84</f>
        <v/>
      </c>
      <c r="H84">
        <f>$B$7-G84</f>
        <v/>
      </c>
      <c r="I84">
        <f>C84+F84</f>
        <v/>
      </c>
    </row>
    <row r="85">
      <c r="A85" t="n">
        <v>71</v>
      </c>
      <c r="B85" t="inlineStr">
        <is>
          <t>01-2032</t>
        </is>
      </c>
      <c r="C85">
        <f>MAX(0,MIN($B$10,$B$3-D84-$B$4))</f>
        <v/>
      </c>
      <c r="D85">
        <f>D84+C85</f>
        <v/>
      </c>
      <c r="E85">
        <f>$B$3-D85</f>
        <v/>
      </c>
      <c r="F85">
        <f>MAX(0,MIN($B$11,$B$7-G84-$B$8))</f>
        <v/>
      </c>
      <c r="G85">
        <f>G84+F85</f>
        <v/>
      </c>
      <c r="H85">
        <f>$B$7-G85</f>
        <v/>
      </c>
      <c r="I85">
        <f>C85+F85</f>
        <v/>
      </c>
    </row>
    <row r="86">
      <c r="A86" t="n">
        <v>72</v>
      </c>
      <c r="B86" t="inlineStr">
        <is>
          <t>02-2032</t>
        </is>
      </c>
      <c r="C86">
        <f>MAX(0,MIN($B$10,$B$3-D85-$B$4))</f>
        <v/>
      </c>
      <c r="D86">
        <f>D85+C86</f>
        <v/>
      </c>
      <c r="E86">
        <f>$B$3-D86</f>
        <v/>
      </c>
      <c r="F86">
        <f>MAX(0,MIN($B$11,$B$7-G85-$B$8))</f>
        <v/>
      </c>
      <c r="G86">
        <f>G85+F86</f>
        <v/>
      </c>
      <c r="H86">
        <f>$B$7-G86</f>
        <v/>
      </c>
      <c r="I86">
        <f>C86+F86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2026-10-16T10:52:30Z</dcterms:created>
  <dcterms:modified xmlns:dcterms="http://purl.org/dc/terms/" xmlns:xsi="http://www.w3.org/2001/XMLSchema-instance" xsi:type="dcterms:W3CDTF">2026-10-16T10:52:30Z</dcterms:modified>
</cp:coreProperties>
</file>