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icipados" sheetId="1" state="visible" r:id="rId1"/>
    <sheet xmlns:r="http://schemas.openxmlformats.org/officeDocument/2006/relationships" name="Incobrables" sheetId="2" state="visible" r:id="rId2"/>
    <sheet xmlns:r="http://schemas.openxmlformats.org/officeDocument/2006/relationships" name="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14" customWidth="1" min="3" max="3"/>
    <col width="14" customWidth="1" min="6" max="6"/>
    <col width="14" customWidth="1" min="7" max="7"/>
    <col width="14" customWidth="1" min="8" max="8"/>
  </cols>
  <sheetData>
    <row r="1">
      <c r="A1" s="1" t="inlineStr">
        <is>
          <t>Partida</t>
        </is>
      </c>
      <c r="B1" s="1" t="inlineStr">
        <is>
          <t>Tipo</t>
        </is>
      </c>
      <c r="C1" s="1" t="inlineStr">
        <is>
          <t>Monto</t>
        </is>
      </c>
      <c r="D1" s="1" t="inlineStr">
        <is>
          <t>Meses que cubre</t>
        </is>
      </c>
      <c r="E1" s="1" t="inlineStr">
        <is>
          <t>Meses consumidos</t>
        </is>
      </c>
      <c r="F1" s="1" t="inlineStr">
        <is>
          <t>Por mes</t>
        </is>
      </c>
      <c r="G1" s="1" t="inlineStr">
        <is>
          <t>Devengado</t>
        </is>
      </c>
      <c r="H1" s="1" t="inlineStr">
        <is>
          <t>Saldo al cierre</t>
        </is>
      </c>
    </row>
    <row r="2">
      <c r="A2" t="inlineStr">
        <is>
          <t>Hostal · seguro (01-08 al 31-12)</t>
        </is>
      </c>
      <c r="B2" t="inlineStr">
        <is>
          <t>gasto pagado por anticipado</t>
        </is>
      </c>
      <c r="C2" s="2" t="n">
        <v>1236000</v>
      </c>
      <c r="D2" t="n">
        <v>12</v>
      </c>
      <c r="E2" t="n">
        <v>5</v>
      </c>
      <c r="F2" s="2">
        <f>C2/D2</f>
        <v/>
      </c>
      <c r="G2" s="2">
        <f>F2*E2</f>
        <v/>
      </c>
      <c r="H2" s="2">
        <f>C2-G2</f>
        <v/>
      </c>
    </row>
    <row r="3">
      <c r="A3" t="inlineStr">
        <is>
          <t>Hostal · estacionamiento (01-11 al 31-12)</t>
        </is>
      </c>
      <c r="B3" t="inlineStr">
        <is>
          <t>gasto pagado por anticipado</t>
        </is>
      </c>
      <c r="C3" s="2" t="n">
        <v>930000</v>
      </c>
      <c r="D3" t="n">
        <v>6</v>
      </c>
      <c r="E3" t="n">
        <v>2</v>
      </c>
      <c r="F3" s="2">
        <f>C3/D3</f>
        <v/>
      </c>
      <c r="G3" s="2">
        <f>F3*E3</f>
        <v/>
      </c>
      <c r="H3" s="2">
        <f>C3-G3</f>
        <v/>
      </c>
    </row>
    <row r="4">
      <c r="A4" t="inlineStr">
        <is>
          <t>Hostal · local arrendado (01-09 al 31-12)</t>
        </is>
      </c>
      <c r="B4" t="inlineStr">
        <is>
          <t>ingreso recibido por anticipado</t>
        </is>
      </c>
      <c r="C4" s="2" t="n">
        <v>2580000</v>
      </c>
      <c r="D4" t="n">
        <v>6</v>
      </c>
      <c r="E4" t="n">
        <v>4</v>
      </c>
      <c r="F4" s="2">
        <f>C4/D4</f>
        <v/>
      </c>
      <c r="G4" s="2">
        <f>F4*E4</f>
        <v/>
      </c>
      <c r="H4" s="2">
        <f>C4-G4</f>
        <v/>
      </c>
    </row>
    <row r="5">
      <c r="A5" t="inlineStr">
        <is>
          <t>Estampa Sur · arriendo de marzo</t>
        </is>
      </c>
      <c r="B5" t="inlineStr">
        <is>
          <t>gasto pagado por anticipado</t>
        </is>
      </c>
      <c r="C5" s="2" t="n">
        <v>580000</v>
      </c>
      <c r="D5" t="n">
        <v>1</v>
      </c>
      <c r="E5" t="n">
        <v>1</v>
      </c>
      <c r="F5" s="2">
        <f>C5/D5</f>
        <v/>
      </c>
      <c r="G5" s="2">
        <f>F5*E5</f>
        <v/>
      </c>
      <c r="H5" s="2">
        <f>C5-G5</f>
        <v/>
      </c>
    </row>
    <row r="6">
      <c r="A6" t="inlineStr">
        <is>
          <t>Estampa Sur · seguro anual</t>
        </is>
      </c>
      <c r="B6" t="inlineStr">
        <is>
          <t>gasto pagado por anticipado</t>
        </is>
      </c>
      <c r="C6" s="2" t="n">
        <v>948000</v>
      </c>
      <c r="D6" t="n">
        <v>12</v>
      </c>
      <c r="E6" t="n">
        <v>1</v>
      </c>
      <c r="F6" s="2">
        <f>C6/D6</f>
        <v/>
      </c>
      <c r="G6" s="2">
        <f>F6*E6</f>
        <v/>
      </c>
      <c r="H6" s="2">
        <f>C6-G6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Clientes al 31-12</t>
        </is>
      </c>
      <c r="B1" s="2" t="n">
        <v>6420000</v>
      </c>
    </row>
    <row r="2">
      <c r="A2" t="inlineStr">
        <is>
          <t>Porcentaje estimado incobrable</t>
        </is>
      </c>
      <c r="B2" s="3" t="n">
        <v>0.03</v>
      </c>
    </row>
    <row r="3">
      <c r="A3" t="inlineStr">
        <is>
          <t>Estimación requerida</t>
        </is>
      </c>
      <c r="B3" s="2">
        <f>B1*B2</f>
        <v/>
      </c>
    </row>
    <row r="4">
      <c r="A4" t="inlineStr">
        <is>
          <t>Saldo previo de la estimación</t>
        </is>
      </c>
      <c r="B4" s="2" t="n">
        <v>45000</v>
      </c>
    </row>
    <row r="5">
      <c r="A5" t="inlineStr">
        <is>
          <t>Ajuste del cierre</t>
        </is>
      </c>
      <c r="B5" s="2">
        <f>B3-B4</f>
        <v/>
      </c>
    </row>
    <row r="6">
      <c r="A6" t="inlineStr">
        <is>
          <t>Clientes, valor neto</t>
        </is>
      </c>
      <c r="B6" s="2">
        <f>B1-B3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6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Asiento</t>
        </is>
      </c>
      <c r="B1" s="1" t="inlineStr">
        <is>
          <t>Fecha</t>
        </is>
      </c>
      <c r="C1" s="1" t="inlineStr">
        <is>
          <t>Cuenta</t>
        </is>
      </c>
      <c r="D1" s="1" t="inlineStr">
        <is>
          <t>Debe</t>
        </is>
      </c>
      <c r="E1" s="1" t="inlineStr">
        <is>
          <t>Haber</t>
        </is>
      </c>
      <c r="F1" s="1" t="inlineStr">
        <is>
          <t>Glosa</t>
        </is>
      </c>
    </row>
    <row r="2">
      <c r="A2" t="inlineStr">
        <is>
          <t>A1</t>
        </is>
      </c>
      <c r="B2" t="inlineStr">
        <is>
          <t>31-12-2026</t>
        </is>
      </c>
      <c r="C2" t="inlineStr">
        <is>
          <t>Gasto por seguro</t>
        </is>
      </c>
      <c r="D2" s="2">
        <f>Anticipados!G2</f>
        <v/>
      </c>
      <c r="E2" s="2" t="n"/>
      <c r="F2" t="inlineStr">
        <is>
          <t>5 meses de seguro</t>
        </is>
      </c>
    </row>
    <row r="3">
      <c r="A3" t="inlineStr">
        <is>
          <t>A1</t>
        </is>
      </c>
      <c r="B3" t="inlineStr">
        <is>
          <t>31-12-2026</t>
        </is>
      </c>
      <c r="C3" t="inlineStr">
        <is>
          <t>Seguro pagado por anticipado</t>
        </is>
      </c>
      <c r="D3" s="2" t="n"/>
      <c r="E3" s="2">
        <f>Anticipados!G2</f>
        <v/>
      </c>
      <c r="F3" t="inlineStr"/>
    </row>
    <row r="4">
      <c r="A4" t="inlineStr">
        <is>
          <t>A2</t>
        </is>
      </c>
      <c r="B4" t="inlineStr">
        <is>
          <t>31-12-2026</t>
        </is>
      </c>
      <c r="C4" t="inlineStr">
        <is>
          <t>Gasto por arriendo</t>
        </is>
      </c>
      <c r="D4" s="2">
        <f>Anticipados!G3</f>
        <v/>
      </c>
      <c r="E4" s="2" t="n"/>
      <c r="F4" t="inlineStr">
        <is>
          <t>2 meses de estacionamiento</t>
        </is>
      </c>
    </row>
    <row r="5">
      <c r="A5" t="inlineStr">
        <is>
          <t>A2</t>
        </is>
      </c>
      <c r="B5" t="inlineStr">
        <is>
          <t>31-12-2026</t>
        </is>
      </c>
      <c r="C5" t="inlineStr">
        <is>
          <t>Arriendo pagado por anticipado</t>
        </is>
      </c>
      <c r="D5" s="2" t="n"/>
      <c r="E5" s="2">
        <f>Anticipados!G3</f>
        <v/>
      </c>
      <c r="F5" t="inlineStr"/>
    </row>
    <row r="6">
      <c r="A6" t="inlineStr">
        <is>
          <t>A3</t>
        </is>
      </c>
      <c r="B6" t="inlineStr">
        <is>
          <t>31-12-2026</t>
        </is>
      </c>
      <c r="C6" t="inlineStr">
        <is>
          <t>Arriendo recibido por anticipado</t>
        </is>
      </c>
      <c r="D6" s="2">
        <f>Anticipados!G4</f>
        <v/>
      </c>
      <c r="E6" s="2" t="n"/>
      <c r="F6" t="inlineStr">
        <is>
          <t>4 meses del local</t>
        </is>
      </c>
    </row>
    <row r="7">
      <c r="A7" t="inlineStr">
        <is>
          <t>A3</t>
        </is>
      </c>
      <c r="B7" t="inlineStr">
        <is>
          <t>31-12-2026</t>
        </is>
      </c>
      <c r="C7" t="inlineStr">
        <is>
          <t>Arriendo ganado</t>
        </is>
      </c>
      <c r="D7" s="2" t="n"/>
      <c r="E7" s="2">
        <f>Anticipados!G4</f>
        <v/>
      </c>
      <c r="F7" t="inlineStr"/>
    </row>
    <row r="8">
      <c r="A8" t="inlineStr">
        <is>
          <t>A4</t>
        </is>
      </c>
      <c r="B8" t="inlineStr">
        <is>
          <t>31-12-2026</t>
        </is>
      </c>
      <c r="C8" t="inlineStr">
        <is>
          <t>Gasto en sueldos</t>
        </is>
      </c>
      <c r="D8" s="2" t="n">
        <v>3150000</v>
      </c>
      <c r="E8" s="2" t="n"/>
      <c r="F8" t="inlineStr">
        <is>
          <t>sueldos de diciembre, se pagan el 05-01</t>
        </is>
      </c>
    </row>
    <row r="9">
      <c r="A9" t="inlineStr">
        <is>
          <t>A4</t>
        </is>
      </c>
      <c r="B9" t="inlineStr">
        <is>
          <t>31-12-2026</t>
        </is>
      </c>
      <c r="C9" t="inlineStr">
        <is>
          <t>Sueldos por pagar</t>
        </is>
      </c>
      <c r="D9" s="2" t="n"/>
      <c r="E9" s="2">
        <f>D8</f>
        <v/>
      </c>
      <c r="F9" t="inlineStr"/>
    </row>
    <row r="10">
      <c r="A10" t="inlineStr">
        <is>
          <t>A5</t>
        </is>
      </c>
      <c r="B10" t="inlineStr">
        <is>
          <t>31-12-2026</t>
        </is>
      </c>
      <c r="C10" t="inlineStr">
        <is>
          <t>Gasto en electricidad</t>
        </is>
      </c>
      <c r="D10" s="2" t="n">
        <v>184000</v>
      </c>
      <c r="E10" s="2" t="n"/>
      <c r="F10" t="inlineStr">
        <is>
          <t>luz de diciembre, vence el 15-01</t>
        </is>
      </c>
    </row>
    <row r="11">
      <c r="A11" t="inlineStr">
        <is>
          <t>A5</t>
        </is>
      </c>
      <c r="B11" t="inlineStr">
        <is>
          <t>31-12-2026</t>
        </is>
      </c>
      <c r="C11" t="inlineStr">
        <is>
          <t>IVA crédito fiscal</t>
        </is>
      </c>
      <c r="D11" s="2">
        <f>D10*0.19</f>
        <v/>
      </c>
      <c r="E11" s="2" t="n"/>
      <c r="F11" t="inlineStr"/>
    </row>
    <row r="12">
      <c r="A12" t="inlineStr">
        <is>
          <t>A5</t>
        </is>
      </c>
      <c r="B12" t="inlineStr">
        <is>
          <t>31-12-2026</t>
        </is>
      </c>
      <c r="C12" t="inlineStr">
        <is>
          <t>Cuentas por pagar</t>
        </is>
      </c>
      <c r="D12" s="2" t="n"/>
      <c r="E12" s="2">
        <f>D10+D11</f>
        <v/>
      </c>
      <c r="F12" t="inlineStr"/>
    </row>
    <row r="13">
      <c r="A13" t="inlineStr">
        <is>
          <t>A6</t>
        </is>
      </c>
      <c r="B13" t="inlineStr">
        <is>
          <t>31-12-2026</t>
        </is>
      </c>
      <c r="C13" t="inlineStr">
        <is>
          <t>Intereses por cobrar</t>
        </is>
      </c>
      <c r="D13" s="2">
        <f>5000000*0.004*2</f>
        <v/>
      </c>
      <c r="E13" s="2" t="n"/>
      <c r="F13" t="inlineStr">
        <is>
          <t>2 meses del depósito a plazo</t>
        </is>
      </c>
    </row>
    <row r="14">
      <c r="A14" t="inlineStr">
        <is>
          <t>A6</t>
        </is>
      </c>
      <c r="B14" t="inlineStr">
        <is>
          <t>31-12-2026</t>
        </is>
      </c>
      <c r="C14" t="inlineStr">
        <is>
          <t>Intereses ganados</t>
        </is>
      </c>
      <c r="D14" s="2" t="n"/>
      <c r="E14" s="2">
        <f>D13</f>
        <v/>
      </c>
      <c r="F14" t="inlineStr"/>
    </row>
    <row r="15">
      <c r="A15" t="inlineStr">
        <is>
          <t>A7</t>
        </is>
      </c>
      <c r="B15" t="inlineStr">
        <is>
          <t>31-12-2026</t>
        </is>
      </c>
      <c r="C15" t="inlineStr">
        <is>
          <t>Gasto por incobrables</t>
        </is>
      </c>
      <c r="D15" s="2">
        <f>Incobrables!B5</f>
        <v/>
      </c>
      <c r="E15" s="2" t="n"/>
      <c r="F15" t="inlineStr">
        <is>
          <t>estimación al 3 % de clientes</t>
        </is>
      </c>
    </row>
    <row r="16">
      <c r="A16" t="inlineStr">
        <is>
          <t>A7</t>
        </is>
      </c>
      <c r="B16" t="inlineStr">
        <is>
          <t>31-12-2026</t>
        </is>
      </c>
      <c r="C16" t="inlineStr">
        <is>
          <t>Estimación de deudores incobrables</t>
        </is>
      </c>
      <c r="D16" s="2" t="n"/>
      <c r="E16" s="2">
        <f>Incobrables!B5</f>
        <v/>
      </c>
      <c r="F16" t="inlineStr"/>
    </row>
    <row r="17">
      <c r="A17" t="inlineStr"/>
      <c r="B17" t="inlineStr"/>
      <c r="C17" t="inlineStr">
        <is>
          <t>Totales</t>
        </is>
      </c>
      <c r="D17" s="2">
        <f>SUM(D2:D16)</f>
        <v/>
      </c>
      <c r="E17" s="2">
        <f>SUM(E2:E16)</f>
        <v/>
      </c>
      <c r="F17" t="inlineStr">
        <is>
          <t>deben ser iguales</t>
        </is>
      </c>
    </row>
    <row r="18">
      <c r="A18" t="inlineStr"/>
      <c r="B18" t="inlineStr"/>
      <c r="C18" t="inlineStr">
        <is>
          <t>Diferencia (debe dar 0)</t>
        </is>
      </c>
      <c r="D18" s="2">
        <f>D17-E17</f>
        <v/>
      </c>
      <c r="E18" s="2" t="n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2026-10-16T10:52:31Z</dcterms:created>
  <dcterms:modified xmlns:dcterms="http://purl.org/dc/terms/" xmlns:xsi="http://www.w3.org/2001/XMLSchema-instance" xsi:type="dcterms:W3CDTF">2026-10-16T10:52:31Z</dcterms:modified>
</cp:coreProperties>
</file>