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Caso diario" sheetId="2" state="visible" r:id="rId2"/>
    <sheet xmlns:r="http://schemas.openxmlformats.org/officeDocument/2006/relationships" name="Caso mayor" sheetId="3" state="visible" r:id="rId3"/>
    <sheet xmlns:r="http://schemas.openxmlformats.org/officeDocument/2006/relationships" name="Caso comprobación" sheetId="4" state="visible" r:id="rId4"/>
    <sheet xmlns:r="http://schemas.openxmlformats.org/officeDocument/2006/relationships" name="Ejemplo diario" sheetId="5" state="visible" r:id="rId5"/>
    <sheet xmlns:r="http://schemas.openxmlformats.org/officeDocument/2006/relationships" name="Ejemplo mayor" sheetId="6" state="visible" r:id="rId6"/>
    <sheet xmlns:r="http://schemas.openxmlformats.org/officeDocument/2006/relationships" name="Ejemplo comprob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Unidad 2 · Partida doble (base abierta de ingeniería)</t>
        </is>
      </c>
    </row>
    <row r="2">
      <c r="A2" t="inlineStr">
        <is>
          <t>Hojas: diario, mayor y balance de comprobación del caso Estampa Sur (marzo) y del ejemplo Capa a Capa (mayo de 2026).</t>
        </is>
      </c>
    </row>
    <row r="3">
      <c r="A3" t="inlineStr">
        <is>
          <t>Todo se calcula con fórmulas desde la hoja del diario: si cambias un monto, el mayor y la comprobación se actualizan.</t>
        </is>
      </c>
    </row>
    <row r="4">
      <c r="A4" t="inlineStr">
        <is>
          <t>Montos en pesos, IVA 19 % redondeado al peso.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4" customWidth="1" min="4" max="4"/>
    <col width="14" customWidth="1" min="5" max="5"/>
    <col width="52" customWidth="1" min="6" max="6"/>
    <col width="3" customWidth="1" min="7" max="7"/>
    <col width="8" customWidth="1" min="8" max="8"/>
    <col width="14" customWidth="1" min="9" max="9"/>
    <col width="14" customWidth="1" min="10" max="10"/>
    <col width="11" customWidth="1" min="11" max="11"/>
  </cols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Debe</t>
        </is>
      </c>
      <c r="E1" s="1" t="inlineStr">
        <is>
          <t>Haber</t>
        </is>
      </c>
      <c r="F1" s="1" t="inlineStr">
        <is>
          <t>Glosa</t>
        </is>
      </c>
      <c r="H1" t="inlineStr">
        <is>
          <t>Asiento</t>
        </is>
      </c>
      <c r="I1" t="inlineStr">
        <is>
          <t>Debe</t>
        </is>
      </c>
      <c r="J1" t="inlineStr">
        <is>
          <t>Haber</t>
        </is>
      </c>
      <c r="K1" t="inlineStr">
        <is>
          <t>Cuadra (0)</t>
        </is>
      </c>
    </row>
    <row r="2">
      <c r="A2" t="n">
        <v>0</v>
      </c>
      <c r="B2" t="inlineStr">
        <is>
          <t>01-03</t>
        </is>
      </c>
      <c r="C2" t="inlineStr">
        <is>
          <t>Banco</t>
        </is>
      </c>
      <c r="D2" t="n">
        <v>4270000</v>
      </c>
      <c r="F2" t="inlineStr">
        <is>
          <t>Apertura con el balance al 1 de marzo</t>
        </is>
      </c>
      <c r="H2" t="n">
        <v>0</v>
      </c>
      <c r="I2">
        <f>SUMIF($A$2:$A$43,H2,$D$2:$D$43)</f>
        <v/>
      </c>
      <c r="J2">
        <f>SUMIF($A$2:$A$43,H2,$E$2:$E$43)</f>
        <v/>
      </c>
      <c r="K2">
        <f>I2-J2</f>
        <v/>
      </c>
    </row>
    <row r="3">
      <c r="A3" t="n">
        <v>0</v>
      </c>
      <c r="B3" t="inlineStr">
        <is>
          <t>01-03</t>
        </is>
      </c>
      <c r="C3" t="inlineStr">
        <is>
          <t>Clientes</t>
        </is>
      </c>
      <c r="D3" t="n">
        <v>1180000</v>
      </c>
      <c r="H3" t="n">
        <v>1</v>
      </c>
      <c r="I3">
        <f>SUMIF($A$2:$A$43,H3,$D$2:$D$43)</f>
        <v/>
      </c>
      <c r="J3">
        <f>SUMIF($A$2:$A$43,H3,$E$2:$E$43)</f>
        <v/>
      </c>
      <c r="K3">
        <f>I3-J3</f>
        <v/>
      </c>
    </row>
    <row r="4">
      <c r="A4" t="n">
        <v>0</v>
      </c>
      <c r="B4" t="inlineStr">
        <is>
          <t>01-03</t>
        </is>
      </c>
      <c r="C4" t="inlineStr">
        <is>
          <t>Poleras lisas básicas</t>
        </is>
      </c>
      <c r="D4" t="n">
        <v>2160000</v>
      </c>
      <c r="H4" t="n">
        <v>2</v>
      </c>
      <c r="I4">
        <f>SUMIF($A$2:$A$43,H4,$D$2:$D$43)</f>
        <v/>
      </c>
      <c r="J4">
        <f>SUMIF($A$2:$A$43,H4,$E$2:$E$43)</f>
        <v/>
      </c>
      <c r="K4">
        <f>I4-J4</f>
        <v/>
      </c>
    </row>
    <row r="5">
      <c r="A5" t="n">
        <v>0</v>
      </c>
      <c r="B5" t="inlineStr">
        <is>
          <t>01-03</t>
        </is>
      </c>
      <c r="C5" t="inlineStr">
        <is>
          <t>Tinta</t>
        </is>
      </c>
      <c r="D5" t="n">
        <v>198000</v>
      </c>
      <c r="H5" t="n">
        <v>3</v>
      </c>
      <c r="I5">
        <f>SUMIF($A$2:$A$43,H5,$D$2:$D$43)</f>
        <v/>
      </c>
      <c r="J5">
        <f>SUMIF($A$2:$A$43,H5,$E$2:$E$43)</f>
        <v/>
      </c>
      <c r="K5">
        <f>I5-J5</f>
        <v/>
      </c>
    </row>
    <row r="6">
      <c r="A6" t="n">
        <v>0</v>
      </c>
      <c r="B6" t="inlineStr">
        <is>
          <t>01-03</t>
        </is>
      </c>
      <c r="C6" t="inlineStr">
        <is>
          <t>Arriendo pagado por anticipado</t>
        </is>
      </c>
      <c r="D6" t="n">
        <v>580000</v>
      </c>
      <c r="H6" t="n">
        <v>4</v>
      </c>
      <c r="I6">
        <f>SUMIF($A$2:$A$43,H6,$D$2:$D$43)</f>
        <v/>
      </c>
      <c r="J6">
        <f>SUMIF($A$2:$A$43,H6,$E$2:$E$43)</f>
        <v/>
      </c>
      <c r="K6">
        <f>I6-J6</f>
        <v/>
      </c>
    </row>
    <row r="7">
      <c r="A7" t="n">
        <v>0</v>
      </c>
      <c r="B7" t="inlineStr">
        <is>
          <t>01-03</t>
        </is>
      </c>
      <c r="C7" t="inlineStr">
        <is>
          <t>Maquinaria</t>
        </is>
      </c>
      <c r="D7" t="n">
        <v>9840000</v>
      </c>
      <c r="H7" t="n">
        <v>5</v>
      </c>
      <c r="I7">
        <f>SUMIF($A$2:$A$43,H7,$D$2:$D$43)</f>
        <v/>
      </c>
      <c r="J7">
        <f>SUMIF($A$2:$A$43,H7,$E$2:$E$43)</f>
        <v/>
      </c>
      <c r="K7">
        <f>I7-J7</f>
        <v/>
      </c>
    </row>
    <row r="8">
      <c r="A8" t="n">
        <v>0</v>
      </c>
      <c r="B8" t="inlineStr">
        <is>
          <t>01-03</t>
        </is>
      </c>
      <c r="C8" t="inlineStr">
        <is>
          <t>Depreciación acumulada</t>
        </is>
      </c>
      <c r="E8" t="n">
        <v>2460000</v>
      </c>
      <c r="H8" t="n">
        <v>6</v>
      </c>
      <c r="I8">
        <f>SUMIF($A$2:$A$43,H8,$D$2:$D$43)</f>
        <v/>
      </c>
      <c r="J8">
        <f>SUMIF($A$2:$A$43,H8,$E$2:$E$43)</f>
        <v/>
      </c>
      <c r="K8">
        <f>I8-J8</f>
        <v/>
      </c>
    </row>
    <row r="9">
      <c r="A9" t="n">
        <v>0</v>
      </c>
      <c r="B9" t="inlineStr">
        <is>
          <t>01-03</t>
        </is>
      </c>
      <c r="C9" t="inlineStr">
        <is>
          <t>Proveedores</t>
        </is>
      </c>
      <c r="E9" t="n">
        <v>1340000</v>
      </c>
      <c r="H9" t="n">
        <v>7</v>
      </c>
      <c r="I9">
        <f>SUMIF($A$2:$A$43,H9,$D$2:$D$43)</f>
        <v/>
      </c>
      <c r="J9">
        <f>SUMIF($A$2:$A$43,H9,$E$2:$E$43)</f>
        <v/>
      </c>
      <c r="K9">
        <f>I9-J9</f>
        <v/>
      </c>
    </row>
    <row r="10">
      <c r="A10" t="n">
        <v>0</v>
      </c>
      <c r="B10" t="inlineStr">
        <is>
          <t>01-03</t>
        </is>
      </c>
      <c r="C10" t="inlineStr">
        <is>
          <t>Capital</t>
        </is>
      </c>
      <c r="E10" t="n">
        <v>14428000</v>
      </c>
      <c r="H10" t="n">
        <v>8</v>
      </c>
      <c r="I10">
        <f>SUMIF($A$2:$A$43,H10,$D$2:$D$43)</f>
        <v/>
      </c>
      <c r="J10">
        <f>SUMIF($A$2:$A$43,H10,$E$2:$E$43)</f>
        <v/>
      </c>
      <c r="K10">
        <f>I10-J10</f>
        <v/>
      </c>
    </row>
    <row r="11">
      <c r="A11" t="n">
        <v>1</v>
      </c>
      <c r="B11" t="inlineStr">
        <is>
          <t>01-03</t>
        </is>
      </c>
      <c r="C11" t="inlineStr">
        <is>
          <t>Poleras lisas básicas</t>
        </is>
      </c>
      <c r="D11" t="n">
        <v>5145000</v>
      </c>
      <c r="F11" t="inlineStr">
        <is>
          <t>Compra de poleras lisas básicas a crédito</t>
        </is>
      </c>
      <c r="H11" t="n">
        <v>9</v>
      </c>
      <c r="I11">
        <f>SUMIF($A$2:$A$43,H11,$D$2:$D$43)</f>
        <v/>
      </c>
      <c r="J11">
        <f>SUMIF($A$2:$A$43,H11,$E$2:$E$43)</f>
        <v/>
      </c>
      <c r="K11">
        <f>I11-J11</f>
        <v/>
      </c>
    </row>
    <row r="12">
      <c r="A12" t="n">
        <v>1</v>
      </c>
      <c r="B12" t="inlineStr">
        <is>
          <t>01-03</t>
        </is>
      </c>
      <c r="C12" t="inlineStr">
        <is>
          <t>IVA crédito fiscal</t>
        </is>
      </c>
      <c r="D12" t="n">
        <v>977550</v>
      </c>
      <c r="H12" t="n">
        <v>10</v>
      </c>
      <c r="I12">
        <f>SUMIF($A$2:$A$43,H12,$D$2:$D$43)</f>
        <v/>
      </c>
      <c r="J12">
        <f>SUMIF($A$2:$A$43,H12,$E$2:$E$43)</f>
        <v/>
      </c>
      <c r="K12">
        <f>I12-J12</f>
        <v/>
      </c>
    </row>
    <row r="13">
      <c r="A13" t="n">
        <v>1</v>
      </c>
      <c r="B13" t="inlineStr">
        <is>
          <t>01-03</t>
        </is>
      </c>
      <c r="C13" t="inlineStr">
        <is>
          <t>Proveedores</t>
        </is>
      </c>
      <c r="E13" t="n">
        <v>6122550</v>
      </c>
      <c r="H13" t="n">
        <v>11</v>
      </c>
      <c r="I13">
        <f>SUMIF($A$2:$A$43,H13,$D$2:$D$43)</f>
        <v/>
      </c>
      <c r="J13">
        <f>SUMIF($A$2:$A$43,H13,$E$2:$E$43)</f>
        <v/>
      </c>
      <c r="K13">
        <f>I13-J13</f>
        <v/>
      </c>
    </row>
    <row r="14">
      <c r="A14" t="n">
        <v>2</v>
      </c>
      <c r="B14" t="inlineStr">
        <is>
          <t>01-03</t>
        </is>
      </c>
      <c r="C14" t="inlineStr">
        <is>
          <t>Otras prendas lisas</t>
        </is>
      </c>
      <c r="D14" t="n">
        <v>10166980</v>
      </c>
      <c r="F14" t="inlineStr">
        <is>
          <t>Compra de las otras prendas lisas a crédito</t>
        </is>
      </c>
      <c r="H14" t="n">
        <v>12</v>
      </c>
      <c r="I14">
        <f>SUMIF($A$2:$A$43,H14,$D$2:$D$43)</f>
        <v/>
      </c>
      <c r="J14">
        <f>SUMIF($A$2:$A$43,H14,$E$2:$E$43)</f>
        <v/>
      </c>
      <c r="K14">
        <f>I14-J14</f>
        <v/>
      </c>
    </row>
    <row r="15">
      <c r="A15" t="n">
        <v>2</v>
      </c>
      <c r="B15" t="inlineStr">
        <is>
          <t>01-03</t>
        </is>
      </c>
      <c r="C15" t="inlineStr">
        <is>
          <t>IVA crédito fiscal</t>
        </is>
      </c>
      <c r="D15" t="n">
        <v>1931726</v>
      </c>
    </row>
    <row r="16">
      <c r="A16" t="n">
        <v>2</v>
      </c>
      <c r="B16" t="inlineStr">
        <is>
          <t>01-03</t>
        </is>
      </c>
      <c r="C16" t="inlineStr">
        <is>
          <t>Proveedores</t>
        </is>
      </c>
      <c r="E16" t="n">
        <v>12098706</v>
      </c>
    </row>
    <row r="17">
      <c r="A17" t="n">
        <v>3</v>
      </c>
      <c r="B17" t="inlineStr">
        <is>
          <t>02-03</t>
        </is>
      </c>
      <c r="C17" t="inlineStr">
        <is>
          <t>Tinta</t>
        </is>
      </c>
      <c r="D17" t="n">
        <v>1176731</v>
      </c>
      <c r="F17" t="inlineStr">
        <is>
          <t>Compra de tinta al contado</t>
        </is>
      </c>
    </row>
    <row r="18">
      <c r="A18" t="n">
        <v>3</v>
      </c>
      <c r="B18" t="inlineStr">
        <is>
          <t>02-03</t>
        </is>
      </c>
      <c r="C18" t="inlineStr">
        <is>
          <t>IVA crédito fiscal</t>
        </is>
      </c>
      <c r="D18" t="n">
        <v>223579</v>
      </c>
    </row>
    <row r="19">
      <c r="A19" t="n">
        <v>3</v>
      </c>
      <c r="B19" t="inlineStr">
        <is>
          <t>02-03</t>
        </is>
      </c>
      <c r="C19" t="inlineStr">
        <is>
          <t>Banco</t>
        </is>
      </c>
      <c r="E19" t="n">
        <v>1400310</v>
      </c>
    </row>
    <row r="20">
      <c r="A20" t="n">
        <v>4</v>
      </c>
      <c r="B20" t="inlineStr">
        <is>
          <t>04-03</t>
        </is>
      </c>
      <c r="C20" t="inlineStr">
        <is>
          <t>Maquinaria</t>
        </is>
      </c>
      <c r="D20" t="n">
        <v>14300000</v>
      </c>
      <c r="F20" t="inlineStr">
        <is>
          <t>Compra de la segunda máquina</t>
        </is>
      </c>
    </row>
    <row r="21">
      <c r="A21" t="n">
        <v>4</v>
      </c>
      <c r="B21" t="inlineStr">
        <is>
          <t>04-03</t>
        </is>
      </c>
      <c r="C21" t="inlineStr">
        <is>
          <t>IVA crédito fiscal</t>
        </is>
      </c>
      <c r="D21" t="n">
        <v>2717000</v>
      </c>
    </row>
    <row r="22">
      <c r="A22" t="n">
        <v>4</v>
      </c>
      <c r="B22" t="inlineStr">
        <is>
          <t>04-03</t>
        </is>
      </c>
      <c r="C22" t="inlineStr">
        <is>
          <t>Banco</t>
        </is>
      </c>
      <c r="E22" t="n">
        <v>8267000</v>
      </c>
    </row>
    <row r="23">
      <c r="A23" t="n">
        <v>4</v>
      </c>
      <c r="B23" t="inlineStr">
        <is>
          <t>04-03</t>
        </is>
      </c>
      <c r="C23" t="inlineStr">
        <is>
          <t>Documentos por pagar a largo plazo</t>
        </is>
      </c>
      <c r="E23" t="n">
        <v>8750000</v>
      </c>
    </row>
    <row r="24">
      <c r="A24" t="n">
        <v>5</v>
      </c>
      <c r="B24" t="inlineStr">
        <is>
          <t>04-03</t>
        </is>
      </c>
      <c r="C24" t="inlineStr">
        <is>
          <t>Banco</t>
        </is>
      </c>
      <c r="D24" t="n">
        <v>6400000</v>
      </c>
      <c r="F24" t="inlineStr">
        <is>
          <t>Préstamo bancario</t>
        </is>
      </c>
    </row>
    <row r="25">
      <c r="A25" t="n">
        <v>5</v>
      </c>
      <c r="B25" t="inlineStr">
        <is>
          <t>04-03</t>
        </is>
      </c>
      <c r="C25" t="inlineStr">
        <is>
          <t>Préstamo bancario</t>
        </is>
      </c>
      <c r="E25" t="n">
        <v>6400000</v>
      </c>
    </row>
    <row r="26">
      <c r="A26" t="n">
        <v>6</v>
      </c>
      <c r="B26" t="inlineStr">
        <is>
          <t>31-03</t>
        </is>
      </c>
      <c r="C26" t="inlineStr">
        <is>
          <t>Banco</t>
        </is>
      </c>
      <c r="D26" t="n">
        <v>18368507</v>
      </c>
      <c r="F26" t="inlineStr">
        <is>
          <t>Ventas del mes</t>
        </is>
      </c>
    </row>
    <row r="27">
      <c r="A27" t="n">
        <v>6</v>
      </c>
      <c r="B27" t="inlineStr">
        <is>
          <t>31-03</t>
        </is>
      </c>
      <c r="C27" t="inlineStr">
        <is>
          <t>Clientes</t>
        </is>
      </c>
      <c r="D27" t="n">
        <v>12245671</v>
      </c>
    </row>
    <row r="28">
      <c r="A28" t="n">
        <v>6</v>
      </c>
      <c r="B28" t="inlineStr">
        <is>
          <t>31-03</t>
        </is>
      </c>
      <c r="C28" t="inlineStr">
        <is>
          <t>Ventas</t>
        </is>
      </c>
      <c r="E28" t="n">
        <v>25726200</v>
      </c>
    </row>
    <row r="29">
      <c r="A29" t="n">
        <v>6</v>
      </c>
      <c r="B29" t="inlineStr">
        <is>
          <t>31-03</t>
        </is>
      </c>
      <c r="C29" t="inlineStr">
        <is>
          <t>IVA débito fiscal</t>
        </is>
      </c>
      <c r="E29" t="n">
        <v>4887978</v>
      </c>
    </row>
    <row r="30">
      <c r="A30" t="n">
        <v>7</v>
      </c>
      <c r="B30" t="inlineStr">
        <is>
          <t>31-03</t>
        </is>
      </c>
      <c r="C30" t="inlineStr">
        <is>
          <t>Sueldos</t>
        </is>
      </c>
      <c r="D30" t="n">
        <v>2880000</v>
      </c>
      <c r="F30" t="inlineStr">
        <is>
          <t>Pago de sueldos</t>
        </is>
      </c>
    </row>
    <row r="31">
      <c r="A31" t="n">
        <v>7</v>
      </c>
      <c r="B31" t="inlineStr">
        <is>
          <t>31-03</t>
        </is>
      </c>
      <c r="C31" t="inlineStr">
        <is>
          <t>Banco</t>
        </is>
      </c>
      <c r="E31" t="n">
        <v>2880000</v>
      </c>
    </row>
    <row r="32">
      <c r="A32" t="n">
        <v>8</v>
      </c>
      <c r="B32" t="inlineStr">
        <is>
          <t>31-03</t>
        </is>
      </c>
      <c r="C32" t="inlineStr">
        <is>
          <t>Arriendo pagado por anticipado</t>
        </is>
      </c>
      <c r="D32" t="n">
        <v>1740000</v>
      </c>
      <c r="F32" t="inlineStr">
        <is>
          <t>Arriendo de abril a junio pagado por anticipado</t>
        </is>
      </c>
    </row>
    <row r="33">
      <c r="A33" t="n">
        <v>8</v>
      </c>
      <c r="B33" t="inlineStr">
        <is>
          <t>31-03</t>
        </is>
      </c>
      <c r="C33" t="inlineStr">
        <is>
          <t>Banco</t>
        </is>
      </c>
      <c r="E33" t="n">
        <v>1740000</v>
      </c>
    </row>
    <row r="34">
      <c r="A34" t="n">
        <v>9</v>
      </c>
      <c r="B34" t="inlineStr">
        <is>
          <t>31-03</t>
        </is>
      </c>
      <c r="C34" t="inlineStr">
        <is>
          <t>Seguro pagado por anticipado</t>
        </is>
      </c>
      <c r="D34" t="n">
        <v>948000</v>
      </c>
      <c r="F34" t="inlineStr">
        <is>
          <t>Seguro anual pagado al contado</t>
        </is>
      </c>
    </row>
    <row r="35">
      <c r="A35" t="n">
        <v>9</v>
      </c>
      <c r="B35" t="inlineStr">
        <is>
          <t>31-03</t>
        </is>
      </c>
      <c r="C35" t="inlineStr">
        <is>
          <t>IVA crédito fiscal</t>
        </is>
      </c>
      <c r="D35" t="n">
        <v>180120</v>
      </c>
    </row>
    <row r="36">
      <c r="A36" t="n">
        <v>9</v>
      </c>
      <c r="B36" t="inlineStr">
        <is>
          <t>31-03</t>
        </is>
      </c>
      <c r="C36" t="inlineStr">
        <is>
          <t>Banco</t>
        </is>
      </c>
      <c r="E36" t="n">
        <v>1128120</v>
      </c>
    </row>
    <row r="37">
      <c r="A37" t="n">
        <v>10</v>
      </c>
      <c r="B37" t="inlineStr">
        <is>
          <t>31-03</t>
        </is>
      </c>
      <c r="C37" t="inlineStr">
        <is>
          <t>Proveedores</t>
        </is>
      </c>
      <c r="D37" t="n">
        <v>1340000</v>
      </c>
      <c r="F37" t="inlineStr">
        <is>
          <t>Pago a proveedores del saldo inicial</t>
        </is>
      </c>
    </row>
    <row r="38">
      <c r="A38" t="n">
        <v>10</v>
      </c>
      <c r="B38" t="inlineStr">
        <is>
          <t>31-03</t>
        </is>
      </c>
      <c r="C38" t="inlineStr">
        <is>
          <t>Banco</t>
        </is>
      </c>
      <c r="E38" t="n">
        <v>1340000</v>
      </c>
    </row>
    <row r="39">
      <c r="A39" t="n">
        <v>11</v>
      </c>
      <c r="B39" t="inlineStr">
        <is>
          <t>31-03</t>
        </is>
      </c>
      <c r="C39" t="inlineStr">
        <is>
          <t>Banco</t>
        </is>
      </c>
      <c r="D39" t="n">
        <v>1180000</v>
      </c>
      <c r="F39" t="inlineStr">
        <is>
          <t>Cobro a clientes del saldo inicial</t>
        </is>
      </c>
    </row>
    <row r="40">
      <c r="A40" t="n">
        <v>11</v>
      </c>
      <c r="B40" t="inlineStr">
        <is>
          <t>31-03</t>
        </is>
      </c>
      <c r="C40" t="inlineStr">
        <is>
          <t>Clientes</t>
        </is>
      </c>
      <c r="E40" t="n">
        <v>1180000</v>
      </c>
    </row>
    <row r="41">
      <c r="A41" t="n">
        <v>12</v>
      </c>
      <c r="B41" t="inlineStr">
        <is>
          <t>31-03</t>
        </is>
      </c>
      <c r="C41" t="inlineStr">
        <is>
          <t>Gastos de administración</t>
        </is>
      </c>
      <c r="D41" t="n">
        <v>436000</v>
      </c>
      <c r="F41" t="inlineStr">
        <is>
          <t>Otros gastos fijos de administración</t>
        </is>
      </c>
    </row>
    <row r="42">
      <c r="A42" t="n">
        <v>12</v>
      </c>
      <c r="B42" t="inlineStr">
        <is>
          <t>31-03</t>
        </is>
      </c>
      <c r="C42" t="inlineStr">
        <is>
          <t>IVA crédito fiscal</t>
        </is>
      </c>
      <c r="D42" t="n">
        <v>82840</v>
      </c>
    </row>
    <row r="43">
      <c r="A43" t="n">
        <v>12</v>
      </c>
      <c r="B43" t="inlineStr">
        <is>
          <t>31-03</t>
        </is>
      </c>
      <c r="C43" t="inlineStr">
        <is>
          <t>Banco</t>
        </is>
      </c>
      <c r="E43" t="n">
        <v>518840</v>
      </c>
    </row>
    <row r="45">
      <c r="A45" t="inlineStr"/>
      <c r="B45" t="inlineStr"/>
      <c r="C45" t="inlineStr">
        <is>
          <t>Totales</t>
        </is>
      </c>
      <c r="D45">
        <f>SUM(D2:D43)</f>
        <v/>
      </c>
      <c r="E45">
        <f>SUM(E2:E43)</f>
        <v/>
      </c>
    </row>
    <row r="46">
      <c r="A46" t="inlineStr"/>
      <c r="B46" t="inlineStr"/>
      <c r="C46" t="inlineStr">
        <is>
          <t>Diferencia (debe dar 0)</t>
        </is>
      </c>
      <c r="D46">
        <f>D45-E45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0" customWidth="1" min="4" max="4"/>
  </cols>
  <sheetData>
    <row r="1">
      <c r="A1" t="inlineStr">
        <is>
          <t>Banco</t>
        </is>
      </c>
    </row>
    <row r="2">
      <c r="A2" t="inlineStr">
        <is>
          <t>Asiento</t>
        </is>
      </c>
      <c r="B2" t="inlineStr">
        <is>
          <t>Debe</t>
        </is>
      </c>
      <c r="C2" t="inlineStr">
        <is>
          <t>Haber</t>
        </is>
      </c>
      <c r="D2" t="inlineStr">
        <is>
          <t>Saldo (Debe − Haber)</t>
        </is>
      </c>
    </row>
    <row r="3">
      <c r="A3">
        <f>'Caso diario'!A2</f>
        <v/>
      </c>
      <c r="B3">
        <f>'Caso diario'!D2</f>
        <v/>
      </c>
      <c r="C3">
        <f>'Caso diario'!E2</f>
        <v/>
      </c>
      <c r="D3">
        <f>B3-C3</f>
        <v/>
      </c>
    </row>
    <row r="4">
      <c r="A4">
        <f>'Caso diario'!A19</f>
        <v/>
      </c>
      <c r="B4">
        <f>'Caso diario'!D19</f>
        <v/>
      </c>
      <c r="C4">
        <f>'Caso diario'!E19</f>
        <v/>
      </c>
      <c r="D4">
        <f>D3+B4-C4</f>
        <v/>
      </c>
    </row>
    <row r="5">
      <c r="A5">
        <f>'Caso diario'!A22</f>
        <v/>
      </c>
      <c r="B5">
        <f>'Caso diario'!D22</f>
        <v/>
      </c>
      <c r="C5">
        <f>'Caso diario'!E22</f>
        <v/>
      </c>
      <c r="D5">
        <f>D4+B5-C5</f>
        <v/>
      </c>
    </row>
    <row r="6">
      <c r="A6">
        <f>'Caso diario'!A24</f>
        <v/>
      </c>
      <c r="B6">
        <f>'Caso diario'!D24</f>
        <v/>
      </c>
      <c r="C6">
        <f>'Caso diario'!E24</f>
        <v/>
      </c>
      <c r="D6">
        <f>D5+B6-C6</f>
        <v/>
      </c>
    </row>
    <row r="7">
      <c r="A7">
        <f>'Caso diario'!A26</f>
        <v/>
      </c>
      <c r="B7">
        <f>'Caso diario'!D26</f>
        <v/>
      </c>
      <c r="C7">
        <f>'Caso diario'!E26</f>
        <v/>
      </c>
      <c r="D7">
        <f>D6+B7-C7</f>
        <v/>
      </c>
    </row>
    <row r="8">
      <c r="A8">
        <f>'Caso diario'!A31</f>
        <v/>
      </c>
      <c r="B8">
        <f>'Caso diario'!D31</f>
        <v/>
      </c>
      <c r="C8">
        <f>'Caso diario'!E31</f>
        <v/>
      </c>
      <c r="D8">
        <f>D7+B8-C8</f>
        <v/>
      </c>
    </row>
    <row r="9">
      <c r="A9">
        <f>'Caso diario'!A33</f>
        <v/>
      </c>
      <c r="B9">
        <f>'Caso diario'!D33</f>
        <v/>
      </c>
      <c r="C9">
        <f>'Caso diario'!E33</f>
        <v/>
      </c>
      <c r="D9">
        <f>D8+B9-C9</f>
        <v/>
      </c>
    </row>
    <row r="10">
      <c r="A10">
        <f>'Caso diario'!A36</f>
        <v/>
      </c>
      <c r="B10">
        <f>'Caso diario'!D36</f>
        <v/>
      </c>
      <c r="C10">
        <f>'Caso diario'!E36</f>
        <v/>
      </c>
      <c r="D10">
        <f>D9+B10-C10</f>
        <v/>
      </c>
    </row>
    <row r="11">
      <c r="A11">
        <f>'Caso diario'!A38</f>
        <v/>
      </c>
      <c r="B11">
        <f>'Caso diario'!D38</f>
        <v/>
      </c>
      <c r="C11">
        <f>'Caso diario'!E38</f>
        <v/>
      </c>
      <c r="D11">
        <f>D10+B11-C11</f>
        <v/>
      </c>
    </row>
    <row r="12">
      <c r="A12">
        <f>'Caso diario'!A39</f>
        <v/>
      </c>
      <c r="B12">
        <f>'Caso diario'!D39</f>
        <v/>
      </c>
      <c r="C12">
        <f>'Caso diario'!E39</f>
        <v/>
      </c>
      <c r="D12">
        <f>D11+B12-C12</f>
        <v/>
      </c>
    </row>
    <row r="13">
      <c r="A13">
        <f>'Caso diario'!A43</f>
        <v/>
      </c>
      <c r="B13">
        <f>'Caso diario'!D43</f>
        <v/>
      </c>
      <c r="C13">
        <f>'Caso diario'!E43</f>
        <v/>
      </c>
      <c r="D13">
        <f>D12+B13-C13</f>
        <v/>
      </c>
    </row>
    <row r="14">
      <c r="A14" t="inlineStr">
        <is>
          <t>Sumas</t>
        </is>
      </c>
      <c r="B14">
        <f>SUM(B3:B13)</f>
        <v/>
      </c>
      <c r="C14">
        <f>SUM(C3:C13)</f>
        <v/>
      </c>
      <c r="D14">
        <f>D13</f>
        <v/>
      </c>
    </row>
    <row r="16">
      <c r="A16" t="inlineStr">
        <is>
          <t>Clientes</t>
        </is>
      </c>
    </row>
    <row r="17">
      <c r="A17" t="inlineStr">
        <is>
          <t>Asiento</t>
        </is>
      </c>
      <c r="B17" t="inlineStr">
        <is>
          <t>Debe</t>
        </is>
      </c>
      <c r="C17" t="inlineStr">
        <is>
          <t>Haber</t>
        </is>
      </c>
      <c r="D17" t="inlineStr">
        <is>
          <t>Saldo (Debe − Haber)</t>
        </is>
      </c>
    </row>
    <row r="18">
      <c r="A18">
        <f>'Caso diario'!A3</f>
        <v/>
      </c>
      <c r="B18">
        <f>'Caso diario'!D3</f>
        <v/>
      </c>
      <c r="C18">
        <f>'Caso diario'!E3</f>
        <v/>
      </c>
      <c r="D18">
        <f>B18-C18</f>
        <v/>
      </c>
    </row>
    <row r="19">
      <c r="A19">
        <f>'Caso diario'!A27</f>
        <v/>
      </c>
      <c r="B19">
        <f>'Caso diario'!D27</f>
        <v/>
      </c>
      <c r="C19">
        <f>'Caso diario'!E27</f>
        <v/>
      </c>
      <c r="D19">
        <f>D18+B19-C19</f>
        <v/>
      </c>
    </row>
    <row r="20">
      <c r="A20">
        <f>'Caso diario'!A40</f>
        <v/>
      </c>
      <c r="B20">
        <f>'Caso diario'!D40</f>
        <v/>
      </c>
      <c r="C20">
        <f>'Caso diario'!E40</f>
        <v/>
      </c>
      <c r="D20">
        <f>D19+B20-C20</f>
        <v/>
      </c>
    </row>
    <row r="21">
      <c r="A21" t="inlineStr">
        <is>
          <t>Sumas</t>
        </is>
      </c>
      <c r="B21">
        <f>SUM(B18:B20)</f>
        <v/>
      </c>
      <c r="C21">
        <f>SUM(C18:C20)</f>
        <v/>
      </c>
      <c r="D21">
        <f>D20</f>
        <v/>
      </c>
    </row>
    <row r="23">
      <c r="A23" t="inlineStr">
        <is>
          <t>Poleras lisas básicas</t>
        </is>
      </c>
    </row>
    <row r="24">
      <c r="A24" t="inlineStr">
        <is>
          <t>Asiento</t>
        </is>
      </c>
      <c r="B24" t="inlineStr">
        <is>
          <t>Debe</t>
        </is>
      </c>
      <c r="C24" t="inlineStr">
        <is>
          <t>Haber</t>
        </is>
      </c>
      <c r="D24" t="inlineStr">
        <is>
          <t>Saldo (Debe − Haber)</t>
        </is>
      </c>
    </row>
    <row r="25">
      <c r="A25">
        <f>'Caso diario'!A4</f>
        <v/>
      </c>
      <c r="B25">
        <f>'Caso diario'!D4</f>
        <v/>
      </c>
      <c r="C25">
        <f>'Caso diario'!E4</f>
        <v/>
      </c>
      <c r="D25">
        <f>B25-C25</f>
        <v/>
      </c>
    </row>
    <row r="26">
      <c r="A26">
        <f>'Caso diario'!A11</f>
        <v/>
      </c>
      <c r="B26">
        <f>'Caso diario'!D11</f>
        <v/>
      </c>
      <c r="C26">
        <f>'Caso diario'!E11</f>
        <v/>
      </c>
      <c r="D26">
        <f>D25+B26-C26</f>
        <v/>
      </c>
    </row>
    <row r="27">
      <c r="A27" t="inlineStr">
        <is>
          <t>Sumas</t>
        </is>
      </c>
      <c r="B27">
        <f>SUM(B25:B26)</f>
        <v/>
      </c>
      <c r="C27">
        <f>SUM(C25:C26)</f>
        <v/>
      </c>
      <c r="D27">
        <f>D26</f>
        <v/>
      </c>
    </row>
    <row r="29">
      <c r="A29" t="inlineStr">
        <is>
          <t>Otras prendas lisas</t>
        </is>
      </c>
    </row>
    <row r="30">
      <c r="A30" t="inlineStr">
        <is>
          <t>Asiento</t>
        </is>
      </c>
      <c r="B30" t="inlineStr">
        <is>
          <t>Debe</t>
        </is>
      </c>
      <c r="C30" t="inlineStr">
        <is>
          <t>Haber</t>
        </is>
      </c>
      <c r="D30" t="inlineStr">
        <is>
          <t>Saldo (Debe − Haber)</t>
        </is>
      </c>
    </row>
    <row r="31">
      <c r="A31">
        <f>'Caso diario'!A14</f>
        <v/>
      </c>
      <c r="B31">
        <f>'Caso diario'!D14</f>
        <v/>
      </c>
      <c r="C31">
        <f>'Caso diario'!E14</f>
        <v/>
      </c>
      <c r="D31">
        <f>B31-C31</f>
        <v/>
      </c>
    </row>
    <row r="32">
      <c r="A32" t="inlineStr">
        <is>
          <t>Sumas</t>
        </is>
      </c>
      <c r="B32">
        <f>SUM(B31:B31)</f>
        <v/>
      </c>
      <c r="C32">
        <f>SUM(C31:C31)</f>
        <v/>
      </c>
      <c r="D32">
        <f>D31</f>
        <v/>
      </c>
    </row>
    <row r="34">
      <c r="A34" t="inlineStr">
        <is>
          <t>Tinta</t>
        </is>
      </c>
    </row>
    <row r="35">
      <c r="A35" t="inlineStr">
        <is>
          <t>Asiento</t>
        </is>
      </c>
      <c r="B35" t="inlineStr">
        <is>
          <t>Debe</t>
        </is>
      </c>
      <c r="C35" t="inlineStr">
        <is>
          <t>Haber</t>
        </is>
      </c>
      <c r="D35" t="inlineStr">
        <is>
          <t>Saldo (Debe − Haber)</t>
        </is>
      </c>
    </row>
    <row r="36">
      <c r="A36">
        <f>'Caso diario'!A5</f>
        <v/>
      </c>
      <c r="B36">
        <f>'Caso diario'!D5</f>
        <v/>
      </c>
      <c r="C36">
        <f>'Caso diario'!E5</f>
        <v/>
      </c>
      <c r="D36">
        <f>B36-C36</f>
        <v/>
      </c>
    </row>
    <row r="37">
      <c r="A37">
        <f>'Caso diario'!A17</f>
        <v/>
      </c>
      <c r="B37">
        <f>'Caso diario'!D17</f>
        <v/>
      </c>
      <c r="C37">
        <f>'Caso diario'!E17</f>
        <v/>
      </c>
      <c r="D37">
        <f>D36+B37-C37</f>
        <v/>
      </c>
    </row>
    <row r="38">
      <c r="A38" t="inlineStr">
        <is>
          <t>Sumas</t>
        </is>
      </c>
      <c r="B38">
        <f>SUM(B36:B37)</f>
        <v/>
      </c>
      <c r="C38">
        <f>SUM(C36:C37)</f>
        <v/>
      </c>
      <c r="D38">
        <f>D37</f>
        <v/>
      </c>
    </row>
    <row r="40">
      <c r="A40" t="inlineStr">
        <is>
          <t>IVA crédito fiscal</t>
        </is>
      </c>
    </row>
    <row r="41">
      <c r="A41" t="inlineStr">
        <is>
          <t>Asiento</t>
        </is>
      </c>
      <c r="B41" t="inlineStr">
        <is>
          <t>Debe</t>
        </is>
      </c>
      <c r="C41" t="inlineStr">
        <is>
          <t>Haber</t>
        </is>
      </c>
      <c r="D41" t="inlineStr">
        <is>
          <t>Saldo (Debe − Haber)</t>
        </is>
      </c>
    </row>
    <row r="42">
      <c r="A42">
        <f>'Caso diario'!A12</f>
        <v/>
      </c>
      <c r="B42">
        <f>'Caso diario'!D12</f>
        <v/>
      </c>
      <c r="C42">
        <f>'Caso diario'!E12</f>
        <v/>
      </c>
      <c r="D42">
        <f>B42-C42</f>
        <v/>
      </c>
    </row>
    <row r="43">
      <c r="A43">
        <f>'Caso diario'!A15</f>
        <v/>
      </c>
      <c r="B43">
        <f>'Caso diario'!D15</f>
        <v/>
      </c>
      <c r="C43">
        <f>'Caso diario'!E15</f>
        <v/>
      </c>
      <c r="D43">
        <f>D42+B43-C43</f>
        <v/>
      </c>
    </row>
    <row r="44">
      <c r="A44">
        <f>'Caso diario'!A18</f>
        <v/>
      </c>
      <c r="B44">
        <f>'Caso diario'!D18</f>
        <v/>
      </c>
      <c r="C44">
        <f>'Caso diario'!E18</f>
        <v/>
      </c>
      <c r="D44">
        <f>D43+B44-C44</f>
        <v/>
      </c>
    </row>
    <row r="45">
      <c r="A45">
        <f>'Caso diario'!A21</f>
        <v/>
      </c>
      <c r="B45">
        <f>'Caso diario'!D21</f>
        <v/>
      </c>
      <c r="C45">
        <f>'Caso diario'!E21</f>
        <v/>
      </c>
      <c r="D45">
        <f>D44+B45-C45</f>
        <v/>
      </c>
    </row>
    <row r="46">
      <c r="A46">
        <f>'Caso diario'!A35</f>
        <v/>
      </c>
      <c r="B46">
        <f>'Caso diario'!D35</f>
        <v/>
      </c>
      <c r="C46">
        <f>'Caso diario'!E35</f>
        <v/>
      </c>
      <c r="D46">
        <f>D45+B46-C46</f>
        <v/>
      </c>
    </row>
    <row r="47">
      <c r="A47">
        <f>'Caso diario'!A42</f>
        <v/>
      </c>
      <c r="B47">
        <f>'Caso diario'!D42</f>
        <v/>
      </c>
      <c r="C47">
        <f>'Caso diario'!E42</f>
        <v/>
      </c>
      <c r="D47">
        <f>D46+B47-C47</f>
        <v/>
      </c>
    </row>
    <row r="48">
      <c r="A48" t="inlineStr">
        <is>
          <t>Sumas</t>
        </is>
      </c>
      <c r="B48">
        <f>SUM(B42:B47)</f>
        <v/>
      </c>
      <c r="C48">
        <f>SUM(C42:C47)</f>
        <v/>
      </c>
      <c r="D48">
        <f>D47</f>
        <v/>
      </c>
    </row>
    <row r="50">
      <c r="A50" t="inlineStr">
        <is>
          <t>Arriendo pagado por anticipado</t>
        </is>
      </c>
    </row>
    <row r="51">
      <c r="A51" t="inlineStr">
        <is>
          <t>Asiento</t>
        </is>
      </c>
      <c r="B51" t="inlineStr">
        <is>
          <t>Debe</t>
        </is>
      </c>
      <c r="C51" t="inlineStr">
        <is>
          <t>Haber</t>
        </is>
      </c>
      <c r="D51" t="inlineStr">
        <is>
          <t>Saldo (Debe − Haber)</t>
        </is>
      </c>
    </row>
    <row r="52">
      <c r="A52">
        <f>'Caso diario'!A6</f>
        <v/>
      </c>
      <c r="B52">
        <f>'Caso diario'!D6</f>
        <v/>
      </c>
      <c r="C52">
        <f>'Caso diario'!E6</f>
        <v/>
      </c>
      <c r="D52">
        <f>B52-C52</f>
        <v/>
      </c>
    </row>
    <row r="53">
      <c r="A53">
        <f>'Caso diario'!A32</f>
        <v/>
      </c>
      <c r="B53">
        <f>'Caso diario'!D32</f>
        <v/>
      </c>
      <c r="C53">
        <f>'Caso diario'!E32</f>
        <v/>
      </c>
      <c r="D53">
        <f>D52+B53-C53</f>
        <v/>
      </c>
    </row>
    <row r="54">
      <c r="A54" t="inlineStr">
        <is>
          <t>Sumas</t>
        </is>
      </c>
      <c r="B54">
        <f>SUM(B52:B53)</f>
        <v/>
      </c>
      <c r="C54">
        <f>SUM(C52:C53)</f>
        <v/>
      </c>
      <c r="D54">
        <f>D53</f>
        <v/>
      </c>
    </row>
    <row r="56">
      <c r="A56" t="inlineStr">
        <is>
          <t>Seguro pagado por anticipado</t>
        </is>
      </c>
    </row>
    <row r="57">
      <c r="A57" t="inlineStr">
        <is>
          <t>Asiento</t>
        </is>
      </c>
      <c r="B57" t="inlineStr">
        <is>
          <t>Debe</t>
        </is>
      </c>
      <c r="C57" t="inlineStr">
        <is>
          <t>Haber</t>
        </is>
      </c>
      <c r="D57" t="inlineStr">
        <is>
          <t>Saldo (Debe − Haber)</t>
        </is>
      </c>
    </row>
    <row r="58">
      <c r="A58">
        <f>'Caso diario'!A34</f>
        <v/>
      </c>
      <c r="B58">
        <f>'Caso diario'!D34</f>
        <v/>
      </c>
      <c r="C58">
        <f>'Caso diario'!E34</f>
        <v/>
      </c>
      <c r="D58">
        <f>B58-C58</f>
        <v/>
      </c>
    </row>
    <row r="59">
      <c r="A59" t="inlineStr">
        <is>
          <t>Sumas</t>
        </is>
      </c>
      <c r="B59">
        <f>SUM(B58:B58)</f>
        <v/>
      </c>
      <c r="C59">
        <f>SUM(C58:C58)</f>
        <v/>
      </c>
      <c r="D59">
        <f>D58</f>
        <v/>
      </c>
    </row>
    <row r="61">
      <c r="A61" t="inlineStr">
        <is>
          <t>Maquinaria</t>
        </is>
      </c>
    </row>
    <row r="62">
      <c r="A62" t="inlineStr">
        <is>
          <t>Asiento</t>
        </is>
      </c>
      <c r="B62" t="inlineStr">
        <is>
          <t>Debe</t>
        </is>
      </c>
      <c r="C62" t="inlineStr">
        <is>
          <t>Haber</t>
        </is>
      </c>
      <c r="D62" t="inlineStr">
        <is>
          <t>Saldo (Debe − Haber)</t>
        </is>
      </c>
    </row>
    <row r="63">
      <c r="A63">
        <f>'Caso diario'!A7</f>
        <v/>
      </c>
      <c r="B63">
        <f>'Caso diario'!D7</f>
        <v/>
      </c>
      <c r="C63">
        <f>'Caso diario'!E7</f>
        <v/>
      </c>
      <c r="D63">
        <f>B63-C63</f>
        <v/>
      </c>
    </row>
    <row r="64">
      <c r="A64">
        <f>'Caso diario'!A20</f>
        <v/>
      </c>
      <c r="B64">
        <f>'Caso diario'!D20</f>
        <v/>
      </c>
      <c r="C64">
        <f>'Caso diario'!E20</f>
        <v/>
      </c>
      <c r="D64">
        <f>D63+B64-C64</f>
        <v/>
      </c>
    </row>
    <row r="65">
      <c r="A65" t="inlineStr">
        <is>
          <t>Sumas</t>
        </is>
      </c>
      <c r="B65">
        <f>SUM(B63:B64)</f>
        <v/>
      </c>
      <c r="C65">
        <f>SUM(C63:C64)</f>
        <v/>
      </c>
      <c r="D65">
        <f>D64</f>
        <v/>
      </c>
    </row>
    <row r="67">
      <c r="A67" t="inlineStr">
        <is>
          <t>Depreciación acumulada</t>
        </is>
      </c>
    </row>
    <row r="68">
      <c r="A68" t="inlineStr">
        <is>
          <t>Asiento</t>
        </is>
      </c>
      <c r="B68" t="inlineStr">
        <is>
          <t>Debe</t>
        </is>
      </c>
      <c r="C68" t="inlineStr">
        <is>
          <t>Haber</t>
        </is>
      </c>
      <c r="D68" t="inlineStr">
        <is>
          <t>Saldo (Debe − Haber)</t>
        </is>
      </c>
    </row>
    <row r="69">
      <c r="A69">
        <f>'Caso diario'!A8</f>
        <v/>
      </c>
      <c r="B69">
        <f>'Caso diario'!D8</f>
        <v/>
      </c>
      <c r="C69">
        <f>'Caso diario'!E8</f>
        <v/>
      </c>
      <c r="D69">
        <f>B69-C69</f>
        <v/>
      </c>
    </row>
    <row r="70">
      <c r="A70" t="inlineStr">
        <is>
          <t>Sumas</t>
        </is>
      </c>
      <c r="B70">
        <f>SUM(B69:B69)</f>
        <v/>
      </c>
      <c r="C70">
        <f>SUM(C69:C69)</f>
        <v/>
      </c>
      <c r="D70">
        <f>D69</f>
        <v/>
      </c>
    </row>
    <row r="72">
      <c r="A72" t="inlineStr">
        <is>
          <t>Proveedores</t>
        </is>
      </c>
    </row>
    <row r="73">
      <c r="A73" t="inlineStr">
        <is>
          <t>Asiento</t>
        </is>
      </c>
      <c r="B73" t="inlineStr">
        <is>
          <t>Debe</t>
        </is>
      </c>
      <c r="C73" t="inlineStr">
        <is>
          <t>Haber</t>
        </is>
      </c>
      <c r="D73" t="inlineStr">
        <is>
          <t>Saldo (Debe − Haber)</t>
        </is>
      </c>
    </row>
    <row r="74">
      <c r="A74">
        <f>'Caso diario'!A9</f>
        <v/>
      </c>
      <c r="B74">
        <f>'Caso diario'!D9</f>
        <v/>
      </c>
      <c r="C74">
        <f>'Caso diario'!E9</f>
        <v/>
      </c>
      <c r="D74">
        <f>B74-C74</f>
        <v/>
      </c>
    </row>
    <row r="75">
      <c r="A75">
        <f>'Caso diario'!A13</f>
        <v/>
      </c>
      <c r="B75">
        <f>'Caso diario'!D13</f>
        <v/>
      </c>
      <c r="C75">
        <f>'Caso diario'!E13</f>
        <v/>
      </c>
      <c r="D75">
        <f>D74+B75-C75</f>
        <v/>
      </c>
    </row>
    <row r="76">
      <c r="A76">
        <f>'Caso diario'!A16</f>
        <v/>
      </c>
      <c r="B76">
        <f>'Caso diario'!D16</f>
        <v/>
      </c>
      <c r="C76">
        <f>'Caso diario'!E16</f>
        <v/>
      </c>
      <c r="D76">
        <f>D75+B76-C76</f>
        <v/>
      </c>
    </row>
    <row r="77">
      <c r="A77">
        <f>'Caso diario'!A37</f>
        <v/>
      </c>
      <c r="B77">
        <f>'Caso diario'!D37</f>
        <v/>
      </c>
      <c r="C77">
        <f>'Caso diario'!E37</f>
        <v/>
      </c>
      <c r="D77">
        <f>D76+B77-C77</f>
        <v/>
      </c>
    </row>
    <row r="78">
      <c r="A78" t="inlineStr">
        <is>
          <t>Sumas</t>
        </is>
      </c>
      <c r="B78">
        <f>SUM(B74:B77)</f>
        <v/>
      </c>
      <c r="C78">
        <f>SUM(C74:C77)</f>
        <v/>
      </c>
      <c r="D78">
        <f>D77</f>
        <v/>
      </c>
    </row>
    <row r="80">
      <c r="A80" t="inlineStr">
        <is>
          <t>IVA débito fiscal</t>
        </is>
      </c>
    </row>
    <row r="81">
      <c r="A81" t="inlineStr">
        <is>
          <t>Asiento</t>
        </is>
      </c>
      <c r="B81" t="inlineStr">
        <is>
          <t>Debe</t>
        </is>
      </c>
      <c r="C81" t="inlineStr">
        <is>
          <t>Haber</t>
        </is>
      </c>
      <c r="D81" t="inlineStr">
        <is>
          <t>Saldo (Debe − Haber)</t>
        </is>
      </c>
    </row>
    <row r="82">
      <c r="A82">
        <f>'Caso diario'!A29</f>
        <v/>
      </c>
      <c r="B82">
        <f>'Caso diario'!D29</f>
        <v/>
      </c>
      <c r="C82">
        <f>'Caso diario'!E29</f>
        <v/>
      </c>
      <c r="D82">
        <f>B82-C82</f>
        <v/>
      </c>
    </row>
    <row r="83">
      <c r="A83" t="inlineStr">
        <is>
          <t>Sumas</t>
        </is>
      </c>
      <c r="B83">
        <f>SUM(B82:B82)</f>
        <v/>
      </c>
      <c r="C83">
        <f>SUM(C82:C82)</f>
        <v/>
      </c>
      <c r="D83">
        <f>D82</f>
        <v/>
      </c>
    </row>
    <row r="85">
      <c r="A85" t="inlineStr">
        <is>
          <t>Documentos por pagar a largo plazo</t>
        </is>
      </c>
    </row>
    <row r="86">
      <c r="A86" t="inlineStr">
        <is>
          <t>Asiento</t>
        </is>
      </c>
      <c r="B86" t="inlineStr">
        <is>
          <t>Debe</t>
        </is>
      </c>
      <c r="C86" t="inlineStr">
        <is>
          <t>Haber</t>
        </is>
      </c>
      <c r="D86" t="inlineStr">
        <is>
          <t>Saldo (Debe − Haber)</t>
        </is>
      </c>
    </row>
    <row r="87">
      <c r="A87">
        <f>'Caso diario'!A23</f>
        <v/>
      </c>
      <c r="B87">
        <f>'Caso diario'!D23</f>
        <v/>
      </c>
      <c r="C87">
        <f>'Caso diario'!E23</f>
        <v/>
      </c>
      <c r="D87">
        <f>B87-C87</f>
        <v/>
      </c>
    </row>
    <row r="88">
      <c r="A88" t="inlineStr">
        <is>
          <t>Sumas</t>
        </is>
      </c>
      <c r="B88">
        <f>SUM(B87:B87)</f>
        <v/>
      </c>
      <c r="C88">
        <f>SUM(C87:C87)</f>
        <v/>
      </c>
      <c r="D88">
        <f>D87</f>
        <v/>
      </c>
    </row>
    <row r="90">
      <c r="A90" t="inlineStr">
        <is>
          <t>Préstamo bancario</t>
        </is>
      </c>
    </row>
    <row r="91">
      <c r="A91" t="inlineStr">
        <is>
          <t>Asiento</t>
        </is>
      </c>
      <c r="B91" t="inlineStr">
        <is>
          <t>Debe</t>
        </is>
      </c>
      <c r="C91" t="inlineStr">
        <is>
          <t>Haber</t>
        </is>
      </c>
      <c r="D91" t="inlineStr">
        <is>
          <t>Saldo (Debe − Haber)</t>
        </is>
      </c>
    </row>
    <row r="92">
      <c r="A92">
        <f>'Caso diario'!A25</f>
        <v/>
      </c>
      <c r="B92">
        <f>'Caso diario'!D25</f>
        <v/>
      </c>
      <c r="C92">
        <f>'Caso diario'!E25</f>
        <v/>
      </c>
      <c r="D92">
        <f>B92-C92</f>
        <v/>
      </c>
    </row>
    <row r="93">
      <c r="A93" t="inlineStr">
        <is>
          <t>Sumas</t>
        </is>
      </c>
      <c r="B93">
        <f>SUM(B92:B92)</f>
        <v/>
      </c>
      <c r="C93">
        <f>SUM(C92:C92)</f>
        <v/>
      </c>
      <c r="D93">
        <f>D92</f>
        <v/>
      </c>
    </row>
    <row r="95">
      <c r="A95" t="inlineStr">
        <is>
          <t>Capital</t>
        </is>
      </c>
    </row>
    <row r="96">
      <c r="A96" t="inlineStr">
        <is>
          <t>Asiento</t>
        </is>
      </c>
      <c r="B96" t="inlineStr">
        <is>
          <t>Debe</t>
        </is>
      </c>
      <c r="C96" t="inlineStr">
        <is>
          <t>Haber</t>
        </is>
      </c>
      <c r="D96" t="inlineStr">
        <is>
          <t>Saldo (Debe − Haber)</t>
        </is>
      </c>
    </row>
    <row r="97">
      <c r="A97">
        <f>'Caso diario'!A10</f>
        <v/>
      </c>
      <c r="B97">
        <f>'Caso diario'!D10</f>
        <v/>
      </c>
      <c r="C97">
        <f>'Caso diario'!E10</f>
        <v/>
      </c>
      <c r="D97">
        <f>B97-C97</f>
        <v/>
      </c>
    </row>
    <row r="98">
      <c r="A98" t="inlineStr">
        <is>
          <t>Sumas</t>
        </is>
      </c>
      <c r="B98">
        <f>SUM(B97:B97)</f>
        <v/>
      </c>
      <c r="C98">
        <f>SUM(C97:C97)</f>
        <v/>
      </c>
      <c r="D98">
        <f>D97</f>
        <v/>
      </c>
    </row>
    <row r="100">
      <c r="A100" t="inlineStr">
        <is>
          <t>Ventas</t>
        </is>
      </c>
    </row>
    <row r="101">
      <c r="A101" t="inlineStr">
        <is>
          <t>Asiento</t>
        </is>
      </c>
      <c r="B101" t="inlineStr">
        <is>
          <t>Debe</t>
        </is>
      </c>
      <c r="C101" t="inlineStr">
        <is>
          <t>Haber</t>
        </is>
      </c>
      <c r="D101" t="inlineStr">
        <is>
          <t>Saldo (Debe − Haber)</t>
        </is>
      </c>
    </row>
    <row r="102">
      <c r="A102">
        <f>'Caso diario'!A28</f>
        <v/>
      </c>
      <c r="B102">
        <f>'Caso diario'!D28</f>
        <v/>
      </c>
      <c r="C102">
        <f>'Caso diario'!E28</f>
        <v/>
      </c>
      <c r="D102">
        <f>B102-C102</f>
        <v/>
      </c>
    </row>
    <row r="103">
      <c r="A103" t="inlineStr">
        <is>
          <t>Sumas</t>
        </is>
      </c>
      <c r="B103">
        <f>SUM(B102:B102)</f>
        <v/>
      </c>
      <c r="C103">
        <f>SUM(C102:C102)</f>
        <v/>
      </c>
      <c r="D103">
        <f>D102</f>
        <v/>
      </c>
    </row>
    <row r="105">
      <c r="A105" t="inlineStr">
        <is>
          <t>Sueldos</t>
        </is>
      </c>
    </row>
    <row r="106">
      <c r="A106" t="inlineStr">
        <is>
          <t>Asiento</t>
        </is>
      </c>
      <c r="B106" t="inlineStr">
        <is>
          <t>Debe</t>
        </is>
      </c>
      <c r="C106" t="inlineStr">
        <is>
          <t>Haber</t>
        </is>
      </c>
      <c r="D106" t="inlineStr">
        <is>
          <t>Saldo (Debe − Haber)</t>
        </is>
      </c>
    </row>
    <row r="107">
      <c r="A107">
        <f>'Caso diario'!A30</f>
        <v/>
      </c>
      <c r="B107">
        <f>'Caso diario'!D30</f>
        <v/>
      </c>
      <c r="C107">
        <f>'Caso diario'!E30</f>
        <v/>
      </c>
      <c r="D107">
        <f>B107-C107</f>
        <v/>
      </c>
    </row>
    <row r="108">
      <c r="A108" t="inlineStr">
        <is>
          <t>Sumas</t>
        </is>
      </c>
      <c r="B108">
        <f>SUM(B107:B107)</f>
        <v/>
      </c>
      <c r="C108">
        <f>SUM(C107:C107)</f>
        <v/>
      </c>
      <c r="D108">
        <f>D107</f>
        <v/>
      </c>
    </row>
    <row r="110">
      <c r="A110" t="inlineStr">
        <is>
          <t>Gastos de administración</t>
        </is>
      </c>
    </row>
    <row r="111">
      <c r="A111" t="inlineStr">
        <is>
          <t>Asiento</t>
        </is>
      </c>
      <c r="B111" t="inlineStr">
        <is>
          <t>Debe</t>
        </is>
      </c>
      <c r="C111" t="inlineStr">
        <is>
          <t>Haber</t>
        </is>
      </c>
      <c r="D111" t="inlineStr">
        <is>
          <t>Saldo (Debe − Haber)</t>
        </is>
      </c>
    </row>
    <row r="112">
      <c r="A112">
        <f>'Caso diario'!A41</f>
        <v/>
      </c>
      <c r="B112">
        <f>'Caso diario'!D41</f>
        <v/>
      </c>
      <c r="C112">
        <f>'Caso diario'!E41</f>
        <v/>
      </c>
      <c r="D112">
        <f>B112-C112</f>
        <v/>
      </c>
    </row>
    <row r="113">
      <c r="A113" t="inlineStr">
        <is>
          <t>Sumas</t>
        </is>
      </c>
      <c r="B113">
        <f>SUM(B112:B112)</f>
        <v/>
      </c>
      <c r="C113">
        <f>SUM(C112:C112)</f>
        <v/>
      </c>
      <c r="D113">
        <f>D112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Cuenta</t>
        </is>
      </c>
      <c r="B1" t="inlineStr">
        <is>
          <t>Sumas Debe</t>
        </is>
      </c>
      <c r="C1" t="inlineStr">
        <is>
          <t>Sumas Haber</t>
        </is>
      </c>
      <c r="D1" t="inlineStr">
        <is>
          <t>Saldo deudor</t>
        </is>
      </c>
      <c r="E1" t="inlineStr">
        <is>
          <t>Saldo acreedor</t>
        </is>
      </c>
    </row>
    <row r="2">
      <c r="A2" t="inlineStr">
        <is>
          <t>Banco</t>
        </is>
      </c>
      <c r="B2">
        <f>SUMIF('Caso diario'!$C$2:$C$43,A2,'Caso diario'!$D$2:$D$43)</f>
        <v/>
      </c>
      <c r="C2">
        <f>SUMIF('Caso diario'!$C$2:$C$43,A2,'Caso diario'!$E$2:$E$43)</f>
        <v/>
      </c>
      <c r="D2">
        <f>MAX(B2-C2,0)</f>
        <v/>
      </c>
      <c r="E2">
        <f>MAX(C2-B2,0)</f>
        <v/>
      </c>
    </row>
    <row r="3">
      <c r="A3" t="inlineStr">
        <is>
          <t>Clientes</t>
        </is>
      </c>
      <c r="B3">
        <f>SUMIF('Caso diario'!$C$2:$C$43,A3,'Caso diario'!$D$2:$D$43)</f>
        <v/>
      </c>
      <c r="C3">
        <f>SUMIF('Caso diario'!$C$2:$C$43,A3,'Caso diario'!$E$2:$E$43)</f>
        <v/>
      </c>
      <c r="D3">
        <f>MAX(B3-C3,0)</f>
        <v/>
      </c>
      <c r="E3">
        <f>MAX(C3-B3,0)</f>
        <v/>
      </c>
    </row>
    <row r="4">
      <c r="A4" t="inlineStr">
        <is>
          <t>Poleras lisas básicas</t>
        </is>
      </c>
      <c r="B4">
        <f>SUMIF('Caso diario'!$C$2:$C$43,A4,'Caso diario'!$D$2:$D$43)</f>
        <v/>
      </c>
      <c r="C4">
        <f>SUMIF('Caso diario'!$C$2:$C$43,A4,'Caso diario'!$E$2:$E$43)</f>
        <v/>
      </c>
      <c r="D4">
        <f>MAX(B4-C4,0)</f>
        <v/>
      </c>
      <c r="E4">
        <f>MAX(C4-B4,0)</f>
        <v/>
      </c>
    </row>
    <row r="5">
      <c r="A5" t="inlineStr">
        <is>
          <t>Otras prendas lisas</t>
        </is>
      </c>
      <c r="B5">
        <f>SUMIF('Caso diario'!$C$2:$C$43,A5,'Caso diario'!$D$2:$D$43)</f>
        <v/>
      </c>
      <c r="C5">
        <f>SUMIF('Caso diario'!$C$2:$C$43,A5,'Caso diario'!$E$2:$E$43)</f>
        <v/>
      </c>
      <c r="D5">
        <f>MAX(B5-C5,0)</f>
        <v/>
      </c>
      <c r="E5">
        <f>MAX(C5-B5,0)</f>
        <v/>
      </c>
    </row>
    <row r="6">
      <c r="A6" t="inlineStr">
        <is>
          <t>Tinta</t>
        </is>
      </c>
      <c r="B6">
        <f>SUMIF('Caso diario'!$C$2:$C$43,A6,'Caso diario'!$D$2:$D$43)</f>
        <v/>
      </c>
      <c r="C6">
        <f>SUMIF('Caso diario'!$C$2:$C$43,A6,'Caso diario'!$E$2:$E$43)</f>
        <v/>
      </c>
      <c r="D6">
        <f>MAX(B6-C6,0)</f>
        <v/>
      </c>
      <c r="E6">
        <f>MAX(C6-B6,0)</f>
        <v/>
      </c>
    </row>
    <row r="7">
      <c r="A7" t="inlineStr">
        <is>
          <t>IVA crédito fiscal</t>
        </is>
      </c>
      <c r="B7">
        <f>SUMIF('Caso diario'!$C$2:$C$43,A7,'Caso diario'!$D$2:$D$43)</f>
        <v/>
      </c>
      <c r="C7">
        <f>SUMIF('Caso diario'!$C$2:$C$43,A7,'Caso diario'!$E$2:$E$43)</f>
        <v/>
      </c>
      <c r="D7">
        <f>MAX(B7-C7,0)</f>
        <v/>
      </c>
      <c r="E7">
        <f>MAX(C7-B7,0)</f>
        <v/>
      </c>
    </row>
    <row r="8">
      <c r="A8" t="inlineStr">
        <is>
          <t>Arriendo pagado por anticipado</t>
        </is>
      </c>
      <c r="B8">
        <f>SUMIF('Caso diario'!$C$2:$C$43,A8,'Caso diario'!$D$2:$D$43)</f>
        <v/>
      </c>
      <c r="C8">
        <f>SUMIF('Caso diario'!$C$2:$C$43,A8,'Caso diario'!$E$2:$E$43)</f>
        <v/>
      </c>
      <c r="D8">
        <f>MAX(B8-C8,0)</f>
        <v/>
      </c>
      <c r="E8">
        <f>MAX(C8-B8,0)</f>
        <v/>
      </c>
    </row>
    <row r="9">
      <c r="A9" t="inlineStr">
        <is>
          <t>Seguro pagado por anticipado</t>
        </is>
      </c>
      <c r="B9">
        <f>SUMIF('Caso diario'!$C$2:$C$43,A9,'Caso diario'!$D$2:$D$43)</f>
        <v/>
      </c>
      <c r="C9">
        <f>SUMIF('Caso diario'!$C$2:$C$43,A9,'Caso diario'!$E$2:$E$43)</f>
        <v/>
      </c>
      <c r="D9">
        <f>MAX(B9-C9,0)</f>
        <v/>
      </c>
      <c r="E9">
        <f>MAX(C9-B9,0)</f>
        <v/>
      </c>
    </row>
    <row r="10">
      <c r="A10" t="inlineStr">
        <is>
          <t>Maquinaria</t>
        </is>
      </c>
      <c r="B10">
        <f>SUMIF('Caso diario'!$C$2:$C$43,A10,'Caso diario'!$D$2:$D$43)</f>
        <v/>
      </c>
      <c r="C10">
        <f>SUMIF('Caso diario'!$C$2:$C$43,A10,'Caso diario'!$E$2:$E$43)</f>
        <v/>
      </c>
      <c r="D10">
        <f>MAX(B10-C10,0)</f>
        <v/>
      </c>
      <c r="E10">
        <f>MAX(C10-B10,0)</f>
        <v/>
      </c>
    </row>
    <row r="11">
      <c r="A11" t="inlineStr">
        <is>
          <t>Depreciación acumulada</t>
        </is>
      </c>
      <c r="B11">
        <f>SUMIF('Caso diario'!$C$2:$C$43,A11,'Caso diario'!$D$2:$D$43)</f>
        <v/>
      </c>
      <c r="C11">
        <f>SUMIF('Caso diario'!$C$2:$C$43,A11,'Caso diario'!$E$2:$E$43)</f>
        <v/>
      </c>
      <c r="D11">
        <f>MAX(B11-C11,0)</f>
        <v/>
      </c>
      <c r="E11">
        <f>MAX(C11-B11,0)</f>
        <v/>
      </c>
    </row>
    <row r="12">
      <c r="A12" t="inlineStr">
        <is>
          <t>Proveedores</t>
        </is>
      </c>
      <c r="B12">
        <f>SUMIF('Caso diario'!$C$2:$C$43,A12,'Caso diario'!$D$2:$D$43)</f>
        <v/>
      </c>
      <c r="C12">
        <f>SUMIF('Caso diario'!$C$2:$C$43,A12,'Caso diario'!$E$2:$E$43)</f>
        <v/>
      </c>
      <c r="D12">
        <f>MAX(B12-C12,0)</f>
        <v/>
      </c>
      <c r="E12">
        <f>MAX(C12-B12,0)</f>
        <v/>
      </c>
    </row>
    <row r="13">
      <c r="A13" t="inlineStr">
        <is>
          <t>IVA débito fiscal</t>
        </is>
      </c>
      <c r="B13">
        <f>SUMIF('Caso diario'!$C$2:$C$43,A13,'Caso diario'!$D$2:$D$43)</f>
        <v/>
      </c>
      <c r="C13">
        <f>SUMIF('Caso diario'!$C$2:$C$43,A13,'Caso diario'!$E$2:$E$43)</f>
        <v/>
      </c>
      <c r="D13">
        <f>MAX(B13-C13,0)</f>
        <v/>
      </c>
      <c r="E13">
        <f>MAX(C13-B13,0)</f>
        <v/>
      </c>
    </row>
    <row r="14">
      <c r="A14" t="inlineStr">
        <is>
          <t>Documentos por pagar a largo plazo</t>
        </is>
      </c>
      <c r="B14">
        <f>SUMIF('Caso diario'!$C$2:$C$43,A14,'Caso diario'!$D$2:$D$43)</f>
        <v/>
      </c>
      <c r="C14">
        <f>SUMIF('Caso diario'!$C$2:$C$43,A14,'Caso diario'!$E$2:$E$43)</f>
        <v/>
      </c>
      <c r="D14">
        <f>MAX(B14-C14,0)</f>
        <v/>
      </c>
      <c r="E14">
        <f>MAX(C14-B14,0)</f>
        <v/>
      </c>
    </row>
    <row r="15">
      <c r="A15" t="inlineStr">
        <is>
          <t>Préstamo bancario</t>
        </is>
      </c>
      <c r="B15">
        <f>SUMIF('Caso diario'!$C$2:$C$43,A15,'Caso diario'!$D$2:$D$43)</f>
        <v/>
      </c>
      <c r="C15">
        <f>SUMIF('Caso diario'!$C$2:$C$43,A15,'Caso diario'!$E$2:$E$43)</f>
        <v/>
      </c>
      <c r="D15">
        <f>MAX(B15-C15,0)</f>
        <v/>
      </c>
      <c r="E15">
        <f>MAX(C15-B15,0)</f>
        <v/>
      </c>
    </row>
    <row r="16">
      <c r="A16" t="inlineStr">
        <is>
          <t>Capital</t>
        </is>
      </c>
      <c r="B16">
        <f>SUMIF('Caso diario'!$C$2:$C$43,A16,'Caso diario'!$D$2:$D$43)</f>
        <v/>
      </c>
      <c r="C16">
        <f>SUMIF('Caso diario'!$C$2:$C$43,A16,'Caso diario'!$E$2:$E$43)</f>
        <v/>
      </c>
      <c r="D16">
        <f>MAX(B16-C16,0)</f>
        <v/>
      </c>
      <c r="E16">
        <f>MAX(C16-B16,0)</f>
        <v/>
      </c>
    </row>
    <row r="17">
      <c r="A17" t="inlineStr">
        <is>
          <t>Ventas</t>
        </is>
      </c>
      <c r="B17">
        <f>SUMIF('Caso diario'!$C$2:$C$43,A17,'Caso diario'!$D$2:$D$43)</f>
        <v/>
      </c>
      <c r="C17">
        <f>SUMIF('Caso diario'!$C$2:$C$43,A17,'Caso diario'!$E$2:$E$43)</f>
        <v/>
      </c>
      <c r="D17">
        <f>MAX(B17-C17,0)</f>
        <v/>
      </c>
      <c r="E17">
        <f>MAX(C17-B17,0)</f>
        <v/>
      </c>
    </row>
    <row r="18">
      <c r="A18" t="inlineStr">
        <is>
          <t>Sueldos</t>
        </is>
      </c>
      <c r="B18">
        <f>SUMIF('Caso diario'!$C$2:$C$43,A18,'Caso diario'!$D$2:$D$43)</f>
        <v/>
      </c>
      <c r="C18">
        <f>SUMIF('Caso diario'!$C$2:$C$43,A18,'Caso diario'!$E$2:$E$43)</f>
        <v/>
      </c>
      <c r="D18">
        <f>MAX(B18-C18,0)</f>
        <v/>
      </c>
      <c r="E18">
        <f>MAX(C18-B18,0)</f>
        <v/>
      </c>
    </row>
    <row r="19">
      <c r="A19" t="inlineStr">
        <is>
          <t>Gastos de administración</t>
        </is>
      </c>
      <c r="B19">
        <f>SUMIF('Caso diario'!$C$2:$C$43,A19,'Caso diario'!$D$2:$D$43)</f>
        <v/>
      </c>
      <c r="C19">
        <f>SUMIF('Caso diario'!$C$2:$C$43,A19,'Caso diario'!$E$2:$E$43)</f>
        <v/>
      </c>
      <c r="D19">
        <f>MAX(B19-C19,0)</f>
        <v/>
      </c>
      <c r="E19">
        <f>MAX(C19-B19,0)</f>
        <v/>
      </c>
    </row>
    <row r="20">
      <c r="A20" t="inlineStr">
        <is>
          <t>Totales</t>
        </is>
      </c>
      <c r="B20">
        <f>SUM(B2:B19)</f>
        <v/>
      </c>
      <c r="C20">
        <f>SUM(C2:C19)</f>
        <v/>
      </c>
      <c r="D20">
        <f>SUM(D2:D19)</f>
        <v/>
      </c>
      <c r="E20">
        <f>SUM(E2:E19)</f>
        <v/>
      </c>
    </row>
    <row r="21">
      <c r="A21" t="inlineStr">
        <is>
          <t>Sumas iguales (0)</t>
        </is>
      </c>
      <c r="B21">
        <f>B20-C20</f>
        <v/>
      </c>
      <c r="C21" t="inlineStr"/>
      <c r="D21">
        <f>D20-E20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4" customWidth="1" min="4" max="4"/>
    <col width="14" customWidth="1" min="5" max="5"/>
    <col width="52" customWidth="1" min="6" max="6"/>
    <col width="3" customWidth="1" min="7" max="7"/>
    <col width="8" customWidth="1" min="8" max="8"/>
    <col width="14" customWidth="1" min="9" max="9"/>
    <col width="14" customWidth="1" min="10" max="10"/>
    <col width="11" customWidth="1" min="11" max="11"/>
  </cols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Debe</t>
        </is>
      </c>
      <c r="E1" s="1" t="inlineStr">
        <is>
          <t>Haber</t>
        </is>
      </c>
      <c r="F1" s="1" t="inlineStr">
        <is>
          <t>Glosa</t>
        </is>
      </c>
      <c r="H1" t="inlineStr">
        <is>
          <t>Asiento</t>
        </is>
      </c>
      <c r="I1" t="inlineStr">
        <is>
          <t>Debe</t>
        </is>
      </c>
      <c r="J1" t="inlineStr">
        <is>
          <t>Haber</t>
        </is>
      </c>
      <c r="K1" t="inlineStr">
        <is>
          <t>Cuadra (0)</t>
        </is>
      </c>
    </row>
    <row r="2">
      <c r="A2" t="n">
        <v>1</v>
      </c>
      <c r="B2" t="inlineStr">
        <is>
          <t>02-05-2026</t>
        </is>
      </c>
      <c r="C2" t="inlineStr">
        <is>
          <t>Banco</t>
        </is>
      </c>
      <c r="D2" t="n">
        <v>7400000</v>
      </c>
      <c r="F2" t="inlineStr">
        <is>
          <t>Aporte inicial de Fernanda</t>
        </is>
      </c>
      <c r="H2" t="n">
        <v>1</v>
      </c>
      <c r="I2">
        <f>SUMIF($A$2:$A$28,H2,$D$2:$D$28)</f>
        <v/>
      </c>
      <c r="J2">
        <f>SUMIF($A$2:$A$28,H2,$E$2:$E$28)</f>
        <v/>
      </c>
      <c r="K2">
        <f>I2-J2</f>
        <v/>
      </c>
    </row>
    <row r="3">
      <c r="A3" t="n">
        <v>1</v>
      </c>
      <c r="B3" t="inlineStr">
        <is>
          <t>02-05-2026</t>
        </is>
      </c>
      <c r="C3" t="inlineStr">
        <is>
          <t>Capital</t>
        </is>
      </c>
      <c r="E3" t="n">
        <v>7400000</v>
      </c>
      <c r="H3" t="n">
        <v>2</v>
      </c>
      <c r="I3">
        <f>SUMIF($A$2:$A$28,H3,$D$2:$D$28)</f>
        <v/>
      </c>
      <c r="J3">
        <f>SUMIF($A$2:$A$28,H3,$E$2:$E$28)</f>
        <v/>
      </c>
      <c r="K3">
        <f>I3-J3</f>
        <v/>
      </c>
    </row>
    <row r="4">
      <c r="A4" t="n">
        <v>2</v>
      </c>
      <c r="B4" t="inlineStr">
        <is>
          <t>03-05-2026</t>
        </is>
      </c>
      <c r="C4" t="inlineStr">
        <is>
          <t>Maquinaria</t>
        </is>
      </c>
      <c r="D4" t="n">
        <v>3260000</v>
      </c>
      <c r="F4" t="inlineStr">
        <is>
          <t>Compra de dos impresoras, mitad al contado y mitad a 60 días</t>
        </is>
      </c>
      <c r="H4" t="n">
        <v>3</v>
      </c>
      <c r="I4">
        <f>SUMIF($A$2:$A$28,H4,$D$2:$D$28)</f>
        <v/>
      </c>
      <c r="J4">
        <f>SUMIF($A$2:$A$28,H4,$E$2:$E$28)</f>
        <v/>
      </c>
      <c r="K4">
        <f>I4-J4</f>
        <v/>
      </c>
    </row>
    <row r="5">
      <c r="A5" t="n">
        <v>2</v>
      </c>
      <c r="B5" t="inlineStr">
        <is>
          <t>03-05-2026</t>
        </is>
      </c>
      <c r="C5" t="inlineStr">
        <is>
          <t>IVA crédito fiscal</t>
        </is>
      </c>
      <c r="D5" t="n">
        <v>619400</v>
      </c>
      <c r="H5" t="n">
        <v>4</v>
      </c>
      <c r="I5">
        <f>SUMIF($A$2:$A$28,H5,$D$2:$D$28)</f>
        <v/>
      </c>
      <c r="J5">
        <f>SUMIF($A$2:$A$28,H5,$E$2:$E$28)</f>
        <v/>
      </c>
      <c r="K5">
        <f>I5-J5</f>
        <v/>
      </c>
    </row>
    <row r="6">
      <c r="A6" t="n">
        <v>2</v>
      </c>
      <c r="B6" t="inlineStr">
        <is>
          <t>03-05-2026</t>
        </is>
      </c>
      <c r="C6" t="inlineStr">
        <is>
          <t>Banco</t>
        </is>
      </c>
      <c r="E6" t="n">
        <v>1939700</v>
      </c>
      <c r="H6" t="n">
        <v>5</v>
      </c>
      <c r="I6">
        <f>SUMIF($A$2:$A$28,H6,$D$2:$D$28)</f>
        <v/>
      </c>
      <c r="J6">
        <f>SUMIF($A$2:$A$28,H6,$E$2:$E$28)</f>
        <v/>
      </c>
      <c r="K6">
        <f>I6-J6</f>
        <v/>
      </c>
    </row>
    <row r="7">
      <c r="A7" t="n">
        <v>2</v>
      </c>
      <c r="B7" t="inlineStr">
        <is>
          <t>03-05-2026</t>
        </is>
      </c>
      <c r="C7" t="inlineStr">
        <is>
          <t>Cuentas por pagar</t>
        </is>
      </c>
      <c r="E7" t="n">
        <v>1939700</v>
      </c>
      <c r="H7" t="n">
        <v>6</v>
      </c>
      <c r="I7">
        <f>SUMIF($A$2:$A$28,H7,$D$2:$D$28)</f>
        <v/>
      </c>
      <c r="J7">
        <f>SUMIF($A$2:$A$28,H7,$E$2:$E$28)</f>
        <v/>
      </c>
      <c r="K7">
        <f>I7-J7</f>
        <v/>
      </c>
    </row>
    <row r="8">
      <c r="A8" t="n">
        <v>3</v>
      </c>
      <c r="B8" t="inlineStr">
        <is>
          <t>05-05-2026</t>
        </is>
      </c>
      <c r="C8" t="inlineStr">
        <is>
          <t>Materiales</t>
        </is>
      </c>
      <c r="D8" t="n">
        <v>870000</v>
      </c>
      <c r="F8" t="inlineStr">
        <is>
          <t>Compra de filamento a crédito del proveedor</t>
        </is>
      </c>
      <c r="H8" t="n">
        <v>7</v>
      </c>
      <c r="I8">
        <f>SUMIF($A$2:$A$28,H8,$D$2:$D$28)</f>
        <v/>
      </c>
      <c r="J8">
        <f>SUMIF($A$2:$A$28,H8,$E$2:$E$28)</f>
        <v/>
      </c>
      <c r="K8">
        <f>I8-J8</f>
        <v/>
      </c>
    </row>
    <row r="9">
      <c r="A9" t="n">
        <v>3</v>
      </c>
      <c r="B9" t="inlineStr">
        <is>
          <t>05-05-2026</t>
        </is>
      </c>
      <c r="C9" t="inlineStr">
        <is>
          <t>IVA crédito fiscal</t>
        </is>
      </c>
      <c r="D9" t="n">
        <v>165300</v>
      </c>
      <c r="H9" t="n">
        <v>8</v>
      </c>
      <c r="I9">
        <f>SUMIF($A$2:$A$28,H9,$D$2:$D$28)</f>
        <v/>
      </c>
      <c r="J9">
        <f>SUMIF($A$2:$A$28,H9,$E$2:$E$28)</f>
        <v/>
      </c>
      <c r="K9">
        <f>I9-J9</f>
        <v/>
      </c>
    </row>
    <row r="10">
      <c r="A10" t="n">
        <v>3</v>
      </c>
      <c r="B10" t="inlineStr">
        <is>
          <t>05-05-2026</t>
        </is>
      </c>
      <c r="C10" t="inlineStr">
        <is>
          <t>Proveedores</t>
        </is>
      </c>
      <c r="E10" t="n">
        <v>1035300</v>
      </c>
      <c r="H10" t="n">
        <v>9</v>
      </c>
      <c r="I10">
        <f>SUMIF($A$2:$A$28,H10,$D$2:$D$28)</f>
        <v/>
      </c>
      <c r="J10">
        <f>SUMIF($A$2:$A$28,H10,$E$2:$E$28)</f>
        <v/>
      </c>
      <c r="K10">
        <f>I10-J10</f>
        <v/>
      </c>
    </row>
    <row r="11">
      <c r="A11" t="n">
        <v>4</v>
      </c>
      <c r="B11" t="inlineStr">
        <is>
          <t>06-05-2026</t>
        </is>
      </c>
      <c r="C11" t="inlineStr">
        <is>
          <t>Arriendo</t>
        </is>
      </c>
      <c r="D11" t="n">
        <v>365000</v>
      </c>
      <c r="F11" t="inlineStr">
        <is>
          <t>Arriendo de mayo y junio pagado por transferencia</t>
        </is>
      </c>
      <c r="H11" t="n">
        <v>10</v>
      </c>
      <c r="I11">
        <f>SUMIF($A$2:$A$28,H11,$D$2:$D$28)</f>
        <v/>
      </c>
      <c r="J11">
        <f>SUMIF($A$2:$A$28,H11,$E$2:$E$28)</f>
        <v/>
      </c>
      <c r="K11">
        <f>I11-J11</f>
        <v/>
      </c>
    </row>
    <row r="12">
      <c r="A12" t="n">
        <v>4</v>
      </c>
      <c r="B12" t="inlineStr">
        <is>
          <t>06-05-2026</t>
        </is>
      </c>
      <c r="C12" t="inlineStr">
        <is>
          <t>Arriendo pagado por anticipado</t>
        </is>
      </c>
      <c r="D12" t="n">
        <v>365000</v>
      </c>
    </row>
    <row r="13">
      <c r="A13" t="n">
        <v>4</v>
      </c>
      <c r="B13" t="inlineStr">
        <is>
          <t>06-05-2026</t>
        </is>
      </c>
      <c r="C13" t="inlineStr">
        <is>
          <t>Banco</t>
        </is>
      </c>
      <c r="E13" t="n">
        <v>730000</v>
      </c>
    </row>
    <row r="14">
      <c r="A14" t="n">
        <v>5</v>
      </c>
      <c r="B14" t="inlineStr">
        <is>
          <t>20-05-2026</t>
        </is>
      </c>
      <c r="C14" t="inlineStr">
        <is>
          <t>Banco</t>
        </is>
      </c>
      <c r="D14" t="n">
        <v>906780</v>
      </c>
      <c r="F14" t="inlineStr">
        <is>
          <t>Venta de piezas, 30 % por transferencia y el resto a crédito</t>
        </is>
      </c>
    </row>
    <row r="15">
      <c r="A15" t="n">
        <v>5</v>
      </c>
      <c r="B15" t="inlineStr">
        <is>
          <t>20-05-2026</t>
        </is>
      </c>
      <c r="C15" t="inlineStr">
        <is>
          <t>Clientes</t>
        </is>
      </c>
      <c r="D15" t="n">
        <v>2115820</v>
      </c>
    </row>
    <row r="16">
      <c r="A16" t="n">
        <v>5</v>
      </c>
      <c r="B16" t="inlineStr">
        <is>
          <t>20-05-2026</t>
        </is>
      </c>
      <c r="C16" t="inlineStr">
        <is>
          <t>Ventas</t>
        </is>
      </c>
      <c r="E16" t="n">
        <v>2540000</v>
      </c>
    </row>
    <row r="17">
      <c r="A17" t="n">
        <v>5</v>
      </c>
      <c r="B17" t="inlineStr">
        <is>
          <t>20-05-2026</t>
        </is>
      </c>
      <c r="C17" t="inlineStr">
        <is>
          <t>IVA débito fiscal</t>
        </is>
      </c>
      <c r="E17" t="n">
        <v>482600</v>
      </c>
    </row>
    <row r="18">
      <c r="A18" t="n">
        <v>6</v>
      </c>
      <c r="B18" t="inlineStr">
        <is>
          <t>20-05-2026</t>
        </is>
      </c>
      <c r="C18" t="inlineStr">
        <is>
          <t>Costo de ventas</t>
        </is>
      </c>
      <c r="D18" t="n">
        <v>510000</v>
      </c>
      <c r="F18" t="inlineStr">
        <is>
          <t>Costo del filamento de las piezas vendidas</t>
        </is>
      </c>
    </row>
    <row r="19">
      <c r="A19" t="n">
        <v>6</v>
      </c>
      <c r="B19" t="inlineStr">
        <is>
          <t>20-05-2026</t>
        </is>
      </c>
      <c r="C19" t="inlineStr">
        <is>
          <t>Materiales</t>
        </is>
      </c>
      <c r="E19" t="n">
        <v>510000</v>
      </c>
    </row>
    <row r="20">
      <c r="A20" t="n">
        <v>7</v>
      </c>
      <c r="B20" t="inlineStr">
        <is>
          <t>31-05-2026</t>
        </is>
      </c>
      <c r="C20" t="inlineStr">
        <is>
          <t>Sueldos</t>
        </is>
      </c>
      <c r="D20" t="n">
        <v>1150000</v>
      </c>
      <c r="F20" t="inlineStr">
        <is>
          <t>Sueldos de mayo pagados</t>
        </is>
      </c>
    </row>
    <row r="21">
      <c r="A21" t="n">
        <v>7</v>
      </c>
      <c r="B21" t="inlineStr">
        <is>
          <t>31-05-2026</t>
        </is>
      </c>
      <c r="C21" t="inlineStr">
        <is>
          <t>Banco</t>
        </is>
      </c>
      <c r="E21" t="n">
        <v>1150000</v>
      </c>
    </row>
    <row r="22">
      <c r="A22" t="n">
        <v>8</v>
      </c>
      <c r="B22" t="inlineStr">
        <is>
          <t>31-05-2026</t>
        </is>
      </c>
      <c r="C22" t="inlineStr">
        <is>
          <t>Proveedores</t>
        </is>
      </c>
      <c r="D22" t="n">
        <v>640000</v>
      </c>
      <c r="F22" t="inlineStr">
        <is>
          <t>Abono a proveedores</t>
        </is>
      </c>
    </row>
    <row r="23">
      <c r="A23" t="n">
        <v>8</v>
      </c>
      <c r="B23" t="inlineStr">
        <is>
          <t>31-05-2026</t>
        </is>
      </c>
      <c r="C23" t="inlineStr">
        <is>
          <t>Banco</t>
        </is>
      </c>
      <c r="E23" t="n">
        <v>640000</v>
      </c>
    </row>
    <row r="24">
      <c r="A24" t="n">
        <v>9</v>
      </c>
      <c r="B24" t="inlineStr">
        <is>
          <t>31-05-2026</t>
        </is>
      </c>
      <c r="C24" t="inlineStr">
        <is>
          <t>Banco</t>
        </is>
      </c>
      <c r="D24" t="n">
        <v>1050000</v>
      </c>
      <c r="F24" t="inlineStr">
        <is>
          <t>Cobro a clientes</t>
        </is>
      </c>
    </row>
    <row r="25">
      <c r="A25" t="n">
        <v>9</v>
      </c>
      <c r="B25" t="inlineStr">
        <is>
          <t>31-05-2026</t>
        </is>
      </c>
      <c r="C25" t="inlineStr">
        <is>
          <t>Clientes</t>
        </is>
      </c>
      <c r="E25" t="n">
        <v>1050000</v>
      </c>
    </row>
    <row r="26">
      <c r="A26" t="n">
        <v>10</v>
      </c>
      <c r="B26" t="inlineStr">
        <is>
          <t>31-05-2026</t>
        </is>
      </c>
      <c r="C26" t="inlineStr">
        <is>
          <t>Electricidad</t>
        </is>
      </c>
      <c r="D26" t="n">
        <v>64000</v>
      </c>
      <c r="F26" t="inlineStr">
        <is>
          <t>Cuenta de luz de mayo, se paga en junio</t>
        </is>
      </c>
    </row>
    <row r="27">
      <c r="A27" t="n">
        <v>10</v>
      </c>
      <c r="B27" t="inlineStr">
        <is>
          <t>31-05-2026</t>
        </is>
      </c>
      <c r="C27" t="inlineStr">
        <is>
          <t>IVA crédito fiscal</t>
        </is>
      </c>
      <c r="D27" t="n">
        <v>12160</v>
      </c>
    </row>
    <row r="28">
      <c r="A28" t="n">
        <v>10</v>
      </c>
      <c r="B28" t="inlineStr">
        <is>
          <t>31-05-2026</t>
        </is>
      </c>
      <c r="C28" t="inlineStr">
        <is>
          <t>Cuentas por pagar</t>
        </is>
      </c>
      <c r="E28" t="n">
        <v>76160</v>
      </c>
    </row>
    <row r="30">
      <c r="A30" t="inlineStr"/>
      <c r="B30" t="inlineStr"/>
      <c r="C30" t="inlineStr">
        <is>
          <t>Totales</t>
        </is>
      </c>
      <c r="D30">
        <f>SUM(D2:D28)</f>
        <v/>
      </c>
      <c r="E30">
        <f>SUM(E2:E28)</f>
        <v/>
      </c>
    </row>
    <row r="31">
      <c r="A31" t="inlineStr"/>
      <c r="B31" t="inlineStr"/>
      <c r="C31" t="inlineStr">
        <is>
          <t>Diferencia (debe dar 0)</t>
        </is>
      </c>
      <c r="D31">
        <f>D30-E30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20" customWidth="1" min="4" max="4"/>
  </cols>
  <sheetData>
    <row r="1">
      <c r="A1" t="inlineStr">
        <is>
          <t>Banco</t>
        </is>
      </c>
    </row>
    <row r="2">
      <c r="A2" t="inlineStr">
        <is>
          <t>Asiento</t>
        </is>
      </c>
      <c r="B2" t="inlineStr">
        <is>
          <t>Debe</t>
        </is>
      </c>
      <c r="C2" t="inlineStr">
        <is>
          <t>Haber</t>
        </is>
      </c>
      <c r="D2" t="inlineStr">
        <is>
          <t>Saldo (Debe − Haber)</t>
        </is>
      </c>
    </row>
    <row r="3">
      <c r="A3">
        <f>'Ejemplo diario'!A2</f>
        <v/>
      </c>
      <c r="B3">
        <f>'Ejemplo diario'!D2</f>
        <v/>
      </c>
      <c r="C3">
        <f>'Ejemplo diario'!E2</f>
        <v/>
      </c>
      <c r="D3">
        <f>B3-C3</f>
        <v/>
      </c>
    </row>
    <row r="4">
      <c r="A4">
        <f>'Ejemplo diario'!A6</f>
        <v/>
      </c>
      <c r="B4">
        <f>'Ejemplo diario'!D6</f>
        <v/>
      </c>
      <c r="C4">
        <f>'Ejemplo diario'!E6</f>
        <v/>
      </c>
      <c r="D4">
        <f>D3+B4-C4</f>
        <v/>
      </c>
    </row>
    <row r="5">
      <c r="A5">
        <f>'Ejemplo diario'!A13</f>
        <v/>
      </c>
      <c r="B5">
        <f>'Ejemplo diario'!D13</f>
        <v/>
      </c>
      <c r="C5">
        <f>'Ejemplo diario'!E13</f>
        <v/>
      </c>
      <c r="D5">
        <f>D4+B5-C5</f>
        <v/>
      </c>
    </row>
    <row r="6">
      <c r="A6">
        <f>'Ejemplo diario'!A14</f>
        <v/>
      </c>
      <c r="B6">
        <f>'Ejemplo diario'!D14</f>
        <v/>
      </c>
      <c r="C6">
        <f>'Ejemplo diario'!E14</f>
        <v/>
      </c>
      <c r="D6">
        <f>D5+B6-C6</f>
        <v/>
      </c>
    </row>
    <row r="7">
      <c r="A7">
        <f>'Ejemplo diario'!A21</f>
        <v/>
      </c>
      <c r="B7">
        <f>'Ejemplo diario'!D21</f>
        <v/>
      </c>
      <c r="C7">
        <f>'Ejemplo diario'!E21</f>
        <v/>
      </c>
      <c r="D7">
        <f>D6+B7-C7</f>
        <v/>
      </c>
    </row>
    <row r="8">
      <c r="A8">
        <f>'Ejemplo diario'!A23</f>
        <v/>
      </c>
      <c r="B8">
        <f>'Ejemplo diario'!D23</f>
        <v/>
      </c>
      <c r="C8">
        <f>'Ejemplo diario'!E23</f>
        <v/>
      </c>
      <c r="D8">
        <f>D7+B8-C8</f>
        <v/>
      </c>
    </row>
    <row r="9">
      <c r="A9">
        <f>'Ejemplo diario'!A24</f>
        <v/>
      </c>
      <c r="B9">
        <f>'Ejemplo diario'!D24</f>
        <v/>
      </c>
      <c r="C9">
        <f>'Ejemplo diario'!E24</f>
        <v/>
      </c>
      <c r="D9">
        <f>D8+B9-C9</f>
        <v/>
      </c>
    </row>
    <row r="10">
      <c r="A10" t="inlineStr">
        <is>
          <t>Sumas</t>
        </is>
      </c>
      <c r="B10">
        <f>SUM(B3:B9)</f>
        <v/>
      </c>
      <c r="C10">
        <f>SUM(C3:C9)</f>
        <v/>
      </c>
      <c r="D10">
        <f>D9</f>
        <v/>
      </c>
    </row>
    <row r="12">
      <c r="A12" t="inlineStr">
        <is>
          <t>Clientes</t>
        </is>
      </c>
    </row>
    <row r="13">
      <c r="A13" t="inlineStr">
        <is>
          <t>Asiento</t>
        </is>
      </c>
      <c r="B13" t="inlineStr">
        <is>
          <t>Debe</t>
        </is>
      </c>
      <c r="C13" t="inlineStr">
        <is>
          <t>Haber</t>
        </is>
      </c>
      <c r="D13" t="inlineStr">
        <is>
          <t>Saldo (Debe − Haber)</t>
        </is>
      </c>
    </row>
    <row r="14">
      <c r="A14">
        <f>'Ejemplo diario'!A15</f>
        <v/>
      </c>
      <c r="B14">
        <f>'Ejemplo diario'!D15</f>
        <v/>
      </c>
      <c r="C14">
        <f>'Ejemplo diario'!E15</f>
        <v/>
      </c>
      <c r="D14">
        <f>B14-C14</f>
        <v/>
      </c>
    </row>
    <row r="15">
      <c r="A15">
        <f>'Ejemplo diario'!A25</f>
        <v/>
      </c>
      <c r="B15">
        <f>'Ejemplo diario'!D25</f>
        <v/>
      </c>
      <c r="C15">
        <f>'Ejemplo diario'!E25</f>
        <v/>
      </c>
      <c r="D15">
        <f>D14+B15-C15</f>
        <v/>
      </c>
    </row>
    <row r="16">
      <c r="A16" t="inlineStr">
        <is>
          <t>Sumas</t>
        </is>
      </c>
      <c r="B16">
        <f>SUM(B14:B15)</f>
        <v/>
      </c>
      <c r="C16">
        <f>SUM(C14:C15)</f>
        <v/>
      </c>
      <c r="D16">
        <f>D15</f>
        <v/>
      </c>
    </row>
    <row r="18">
      <c r="A18" t="inlineStr">
        <is>
          <t>Materiales</t>
        </is>
      </c>
    </row>
    <row r="19">
      <c r="A19" t="inlineStr">
        <is>
          <t>Asiento</t>
        </is>
      </c>
      <c r="B19" t="inlineStr">
        <is>
          <t>Debe</t>
        </is>
      </c>
      <c r="C19" t="inlineStr">
        <is>
          <t>Haber</t>
        </is>
      </c>
      <c r="D19" t="inlineStr">
        <is>
          <t>Saldo (Debe − Haber)</t>
        </is>
      </c>
    </row>
    <row r="20">
      <c r="A20">
        <f>'Ejemplo diario'!A8</f>
        <v/>
      </c>
      <c r="B20">
        <f>'Ejemplo diario'!D8</f>
        <v/>
      </c>
      <c r="C20">
        <f>'Ejemplo diario'!E8</f>
        <v/>
      </c>
      <c r="D20">
        <f>B20-C20</f>
        <v/>
      </c>
    </row>
    <row r="21">
      <c r="A21">
        <f>'Ejemplo diario'!A19</f>
        <v/>
      </c>
      <c r="B21">
        <f>'Ejemplo diario'!D19</f>
        <v/>
      </c>
      <c r="C21">
        <f>'Ejemplo diario'!E19</f>
        <v/>
      </c>
      <c r="D21">
        <f>D20+B21-C21</f>
        <v/>
      </c>
    </row>
    <row r="22">
      <c r="A22" t="inlineStr">
        <is>
          <t>Sumas</t>
        </is>
      </c>
      <c r="B22">
        <f>SUM(B20:B21)</f>
        <v/>
      </c>
      <c r="C22">
        <f>SUM(C20:C21)</f>
        <v/>
      </c>
      <c r="D22">
        <f>D21</f>
        <v/>
      </c>
    </row>
    <row r="24">
      <c r="A24" t="inlineStr">
        <is>
          <t>IVA crédito fiscal</t>
        </is>
      </c>
    </row>
    <row r="25">
      <c r="A25" t="inlineStr">
        <is>
          <t>Asiento</t>
        </is>
      </c>
      <c r="B25" t="inlineStr">
        <is>
          <t>Debe</t>
        </is>
      </c>
      <c r="C25" t="inlineStr">
        <is>
          <t>Haber</t>
        </is>
      </c>
      <c r="D25" t="inlineStr">
        <is>
          <t>Saldo (Debe − Haber)</t>
        </is>
      </c>
    </row>
    <row r="26">
      <c r="A26">
        <f>'Ejemplo diario'!A5</f>
        <v/>
      </c>
      <c r="B26">
        <f>'Ejemplo diario'!D5</f>
        <v/>
      </c>
      <c r="C26">
        <f>'Ejemplo diario'!E5</f>
        <v/>
      </c>
      <c r="D26">
        <f>B26-C26</f>
        <v/>
      </c>
    </row>
    <row r="27">
      <c r="A27">
        <f>'Ejemplo diario'!A9</f>
        <v/>
      </c>
      <c r="B27">
        <f>'Ejemplo diario'!D9</f>
        <v/>
      </c>
      <c r="C27">
        <f>'Ejemplo diario'!E9</f>
        <v/>
      </c>
      <c r="D27">
        <f>D26+B27-C27</f>
        <v/>
      </c>
    </row>
    <row r="28">
      <c r="A28">
        <f>'Ejemplo diario'!A27</f>
        <v/>
      </c>
      <c r="B28">
        <f>'Ejemplo diario'!D27</f>
        <v/>
      </c>
      <c r="C28">
        <f>'Ejemplo diario'!E27</f>
        <v/>
      </c>
      <c r="D28">
        <f>D27+B28-C28</f>
        <v/>
      </c>
    </row>
    <row r="29">
      <c r="A29" t="inlineStr">
        <is>
          <t>Sumas</t>
        </is>
      </c>
      <c r="B29">
        <f>SUM(B26:B28)</f>
        <v/>
      </c>
      <c r="C29">
        <f>SUM(C26:C28)</f>
        <v/>
      </c>
      <c r="D29">
        <f>D28</f>
        <v/>
      </c>
    </row>
    <row r="31">
      <c r="A31" t="inlineStr">
        <is>
          <t>Arriendo pagado por anticipado</t>
        </is>
      </c>
    </row>
    <row r="32">
      <c r="A32" t="inlineStr">
        <is>
          <t>Asiento</t>
        </is>
      </c>
      <c r="B32" t="inlineStr">
        <is>
          <t>Debe</t>
        </is>
      </c>
      <c r="C32" t="inlineStr">
        <is>
          <t>Haber</t>
        </is>
      </c>
      <c r="D32" t="inlineStr">
        <is>
          <t>Saldo (Debe − Haber)</t>
        </is>
      </c>
    </row>
    <row r="33">
      <c r="A33">
        <f>'Ejemplo diario'!A12</f>
        <v/>
      </c>
      <c r="B33">
        <f>'Ejemplo diario'!D12</f>
        <v/>
      </c>
      <c r="C33">
        <f>'Ejemplo diario'!E12</f>
        <v/>
      </c>
      <c r="D33">
        <f>B33-C33</f>
        <v/>
      </c>
    </row>
    <row r="34">
      <c r="A34" t="inlineStr">
        <is>
          <t>Sumas</t>
        </is>
      </c>
      <c r="B34">
        <f>SUM(B33:B33)</f>
        <v/>
      </c>
      <c r="C34">
        <f>SUM(C33:C33)</f>
        <v/>
      </c>
      <c r="D34">
        <f>D33</f>
        <v/>
      </c>
    </row>
    <row r="36">
      <c r="A36" t="inlineStr">
        <is>
          <t>Maquinaria</t>
        </is>
      </c>
    </row>
    <row r="37">
      <c r="A37" t="inlineStr">
        <is>
          <t>Asiento</t>
        </is>
      </c>
      <c r="B37" t="inlineStr">
        <is>
          <t>Debe</t>
        </is>
      </c>
      <c r="C37" t="inlineStr">
        <is>
          <t>Haber</t>
        </is>
      </c>
      <c r="D37" t="inlineStr">
        <is>
          <t>Saldo (Debe − Haber)</t>
        </is>
      </c>
    </row>
    <row r="38">
      <c r="A38">
        <f>'Ejemplo diario'!A4</f>
        <v/>
      </c>
      <c r="B38">
        <f>'Ejemplo diario'!D4</f>
        <v/>
      </c>
      <c r="C38">
        <f>'Ejemplo diario'!E4</f>
        <v/>
      </c>
      <c r="D38">
        <f>B38-C38</f>
        <v/>
      </c>
    </row>
    <row r="39">
      <c r="A39" t="inlineStr">
        <is>
          <t>Sumas</t>
        </is>
      </c>
      <c r="B39">
        <f>SUM(B38:B38)</f>
        <v/>
      </c>
      <c r="C39">
        <f>SUM(C38:C38)</f>
        <v/>
      </c>
      <c r="D39">
        <f>D38</f>
        <v/>
      </c>
    </row>
    <row r="41">
      <c r="A41" t="inlineStr">
        <is>
          <t>Proveedores</t>
        </is>
      </c>
    </row>
    <row r="42">
      <c r="A42" t="inlineStr">
        <is>
          <t>Asiento</t>
        </is>
      </c>
      <c r="B42" t="inlineStr">
        <is>
          <t>Debe</t>
        </is>
      </c>
      <c r="C42" t="inlineStr">
        <is>
          <t>Haber</t>
        </is>
      </c>
      <c r="D42" t="inlineStr">
        <is>
          <t>Saldo (Debe − Haber)</t>
        </is>
      </c>
    </row>
    <row r="43">
      <c r="A43">
        <f>'Ejemplo diario'!A10</f>
        <v/>
      </c>
      <c r="B43">
        <f>'Ejemplo diario'!D10</f>
        <v/>
      </c>
      <c r="C43">
        <f>'Ejemplo diario'!E10</f>
        <v/>
      </c>
      <c r="D43">
        <f>B43-C43</f>
        <v/>
      </c>
    </row>
    <row r="44">
      <c r="A44">
        <f>'Ejemplo diario'!A22</f>
        <v/>
      </c>
      <c r="B44">
        <f>'Ejemplo diario'!D22</f>
        <v/>
      </c>
      <c r="C44">
        <f>'Ejemplo diario'!E22</f>
        <v/>
      </c>
      <c r="D44">
        <f>D43+B44-C44</f>
        <v/>
      </c>
    </row>
    <row r="45">
      <c r="A45" t="inlineStr">
        <is>
          <t>Sumas</t>
        </is>
      </c>
      <c r="B45">
        <f>SUM(B43:B44)</f>
        <v/>
      </c>
      <c r="C45">
        <f>SUM(C43:C44)</f>
        <v/>
      </c>
      <c r="D45">
        <f>D44</f>
        <v/>
      </c>
    </row>
    <row r="47">
      <c r="A47" t="inlineStr">
        <is>
          <t>Cuentas por pagar</t>
        </is>
      </c>
    </row>
    <row r="48">
      <c r="A48" t="inlineStr">
        <is>
          <t>Asiento</t>
        </is>
      </c>
      <c r="B48" t="inlineStr">
        <is>
          <t>Debe</t>
        </is>
      </c>
      <c r="C48" t="inlineStr">
        <is>
          <t>Haber</t>
        </is>
      </c>
      <c r="D48" t="inlineStr">
        <is>
          <t>Saldo (Debe − Haber)</t>
        </is>
      </c>
    </row>
    <row r="49">
      <c r="A49">
        <f>'Ejemplo diario'!A7</f>
        <v/>
      </c>
      <c r="B49">
        <f>'Ejemplo diario'!D7</f>
        <v/>
      </c>
      <c r="C49">
        <f>'Ejemplo diario'!E7</f>
        <v/>
      </c>
      <c r="D49">
        <f>B49-C49</f>
        <v/>
      </c>
    </row>
    <row r="50">
      <c r="A50">
        <f>'Ejemplo diario'!A28</f>
        <v/>
      </c>
      <c r="B50">
        <f>'Ejemplo diario'!D28</f>
        <v/>
      </c>
      <c r="C50">
        <f>'Ejemplo diario'!E28</f>
        <v/>
      </c>
      <c r="D50">
        <f>D49+B50-C50</f>
        <v/>
      </c>
    </row>
    <row r="51">
      <c r="A51" t="inlineStr">
        <is>
          <t>Sumas</t>
        </is>
      </c>
      <c r="B51">
        <f>SUM(B49:B50)</f>
        <v/>
      </c>
      <c r="C51">
        <f>SUM(C49:C50)</f>
        <v/>
      </c>
      <c r="D51">
        <f>D50</f>
        <v/>
      </c>
    </row>
    <row r="53">
      <c r="A53" t="inlineStr">
        <is>
          <t>IVA débito fiscal</t>
        </is>
      </c>
    </row>
    <row r="54">
      <c r="A54" t="inlineStr">
        <is>
          <t>Asiento</t>
        </is>
      </c>
      <c r="B54" t="inlineStr">
        <is>
          <t>Debe</t>
        </is>
      </c>
      <c r="C54" t="inlineStr">
        <is>
          <t>Haber</t>
        </is>
      </c>
      <c r="D54" t="inlineStr">
        <is>
          <t>Saldo (Debe − Haber)</t>
        </is>
      </c>
    </row>
    <row r="55">
      <c r="A55">
        <f>'Ejemplo diario'!A17</f>
        <v/>
      </c>
      <c r="B55">
        <f>'Ejemplo diario'!D17</f>
        <v/>
      </c>
      <c r="C55">
        <f>'Ejemplo diario'!E17</f>
        <v/>
      </c>
      <c r="D55">
        <f>B55-C55</f>
        <v/>
      </c>
    </row>
    <row r="56">
      <c r="A56" t="inlineStr">
        <is>
          <t>Sumas</t>
        </is>
      </c>
      <c r="B56">
        <f>SUM(B55:B55)</f>
        <v/>
      </c>
      <c r="C56">
        <f>SUM(C55:C55)</f>
        <v/>
      </c>
      <c r="D56">
        <f>D55</f>
        <v/>
      </c>
    </row>
    <row r="58">
      <c r="A58" t="inlineStr">
        <is>
          <t>Capital</t>
        </is>
      </c>
    </row>
    <row r="59">
      <c r="A59" t="inlineStr">
        <is>
          <t>Asiento</t>
        </is>
      </c>
      <c r="B59" t="inlineStr">
        <is>
          <t>Debe</t>
        </is>
      </c>
      <c r="C59" t="inlineStr">
        <is>
          <t>Haber</t>
        </is>
      </c>
      <c r="D59" t="inlineStr">
        <is>
          <t>Saldo (Debe − Haber)</t>
        </is>
      </c>
    </row>
    <row r="60">
      <c r="A60">
        <f>'Ejemplo diario'!A3</f>
        <v/>
      </c>
      <c r="B60">
        <f>'Ejemplo diario'!D3</f>
        <v/>
      </c>
      <c r="C60">
        <f>'Ejemplo diario'!E3</f>
        <v/>
      </c>
      <c r="D60">
        <f>B60-C60</f>
        <v/>
      </c>
    </row>
    <row r="61">
      <c r="A61" t="inlineStr">
        <is>
          <t>Sumas</t>
        </is>
      </c>
      <c r="B61">
        <f>SUM(B60:B60)</f>
        <v/>
      </c>
      <c r="C61">
        <f>SUM(C60:C60)</f>
        <v/>
      </c>
      <c r="D61">
        <f>D60</f>
        <v/>
      </c>
    </row>
    <row r="63">
      <c r="A63" t="inlineStr">
        <is>
          <t>Ventas</t>
        </is>
      </c>
    </row>
    <row r="64">
      <c r="A64" t="inlineStr">
        <is>
          <t>Asiento</t>
        </is>
      </c>
      <c r="B64" t="inlineStr">
        <is>
          <t>Debe</t>
        </is>
      </c>
      <c r="C64" t="inlineStr">
        <is>
          <t>Haber</t>
        </is>
      </c>
      <c r="D64" t="inlineStr">
        <is>
          <t>Saldo (Debe − Haber)</t>
        </is>
      </c>
    </row>
    <row r="65">
      <c r="A65">
        <f>'Ejemplo diario'!A16</f>
        <v/>
      </c>
      <c r="B65">
        <f>'Ejemplo diario'!D16</f>
        <v/>
      </c>
      <c r="C65">
        <f>'Ejemplo diario'!E16</f>
        <v/>
      </c>
      <c r="D65">
        <f>B65-C65</f>
        <v/>
      </c>
    </row>
    <row r="66">
      <c r="A66" t="inlineStr">
        <is>
          <t>Sumas</t>
        </is>
      </c>
      <c r="B66">
        <f>SUM(B65:B65)</f>
        <v/>
      </c>
      <c r="C66">
        <f>SUM(C65:C65)</f>
        <v/>
      </c>
      <c r="D66">
        <f>D65</f>
        <v/>
      </c>
    </row>
    <row r="68">
      <c r="A68" t="inlineStr">
        <is>
          <t>Costo de ventas</t>
        </is>
      </c>
    </row>
    <row r="69">
      <c r="A69" t="inlineStr">
        <is>
          <t>Asiento</t>
        </is>
      </c>
      <c r="B69" t="inlineStr">
        <is>
          <t>Debe</t>
        </is>
      </c>
      <c r="C69" t="inlineStr">
        <is>
          <t>Haber</t>
        </is>
      </c>
      <c r="D69" t="inlineStr">
        <is>
          <t>Saldo (Debe − Haber)</t>
        </is>
      </c>
    </row>
    <row r="70">
      <c r="A70">
        <f>'Ejemplo diario'!A18</f>
        <v/>
      </c>
      <c r="B70">
        <f>'Ejemplo diario'!D18</f>
        <v/>
      </c>
      <c r="C70">
        <f>'Ejemplo diario'!E18</f>
        <v/>
      </c>
      <c r="D70">
        <f>B70-C70</f>
        <v/>
      </c>
    </row>
    <row r="71">
      <c r="A71" t="inlineStr">
        <is>
          <t>Sumas</t>
        </is>
      </c>
      <c r="B71">
        <f>SUM(B70:B70)</f>
        <v/>
      </c>
      <c r="C71">
        <f>SUM(C70:C70)</f>
        <v/>
      </c>
      <c r="D71">
        <f>D70</f>
        <v/>
      </c>
    </row>
    <row r="73">
      <c r="A73" t="inlineStr">
        <is>
          <t>Arriendo</t>
        </is>
      </c>
    </row>
    <row r="74">
      <c r="A74" t="inlineStr">
        <is>
          <t>Asiento</t>
        </is>
      </c>
      <c r="B74" t="inlineStr">
        <is>
          <t>Debe</t>
        </is>
      </c>
      <c r="C74" t="inlineStr">
        <is>
          <t>Haber</t>
        </is>
      </c>
      <c r="D74" t="inlineStr">
        <is>
          <t>Saldo (Debe − Haber)</t>
        </is>
      </c>
    </row>
    <row r="75">
      <c r="A75">
        <f>'Ejemplo diario'!A11</f>
        <v/>
      </c>
      <c r="B75">
        <f>'Ejemplo diario'!D11</f>
        <v/>
      </c>
      <c r="C75">
        <f>'Ejemplo diario'!E11</f>
        <v/>
      </c>
      <c r="D75">
        <f>B75-C75</f>
        <v/>
      </c>
    </row>
    <row r="76">
      <c r="A76" t="inlineStr">
        <is>
          <t>Sumas</t>
        </is>
      </c>
      <c r="B76">
        <f>SUM(B75:B75)</f>
        <v/>
      </c>
      <c r="C76">
        <f>SUM(C75:C75)</f>
        <v/>
      </c>
      <c r="D76">
        <f>D75</f>
        <v/>
      </c>
    </row>
    <row r="78">
      <c r="A78" t="inlineStr">
        <is>
          <t>Sueldos</t>
        </is>
      </c>
    </row>
    <row r="79">
      <c r="A79" t="inlineStr">
        <is>
          <t>Asiento</t>
        </is>
      </c>
      <c r="B79" t="inlineStr">
        <is>
          <t>Debe</t>
        </is>
      </c>
      <c r="C79" t="inlineStr">
        <is>
          <t>Haber</t>
        </is>
      </c>
      <c r="D79" t="inlineStr">
        <is>
          <t>Saldo (Debe − Haber)</t>
        </is>
      </c>
    </row>
    <row r="80">
      <c r="A80">
        <f>'Ejemplo diario'!A20</f>
        <v/>
      </c>
      <c r="B80">
        <f>'Ejemplo diario'!D20</f>
        <v/>
      </c>
      <c r="C80">
        <f>'Ejemplo diario'!E20</f>
        <v/>
      </c>
      <c r="D80">
        <f>B80-C80</f>
        <v/>
      </c>
    </row>
    <row r="81">
      <c r="A81" t="inlineStr">
        <is>
          <t>Sumas</t>
        </is>
      </c>
      <c r="B81">
        <f>SUM(B80:B80)</f>
        <v/>
      </c>
      <c r="C81">
        <f>SUM(C80:C80)</f>
        <v/>
      </c>
      <c r="D81">
        <f>D80</f>
        <v/>
      </c>
    </row>
    <row r="83">
      <c r="A83" t="inlineStr">
        <is>
          <t>Electricidad</t>
        </is>
      </c>
    </row>
    <row r="84">
      <c r="A84" t="inlineStr">
        <is>
          <t>Asiento</t>
        </is>
      </c>
      <c r="B84" t="inlineStr">
        <is>
          <t>Debe</t>
        </is>
      </c>
      <c r="C84" t="inlineStr">
        <is>
          <t>Haber</t>
        </is>
      </c>
      <c r="D84" t="inlineStr">
        <is>
          <t>Saldo (Debe − Haber)</t>
        </is>
      </c>
    </row>
    <row r="85">
      <c r="A85">
        <f>'Ejemplo diario'!A26</f>
        <v/>
      </c>
      <c r="B85">
        <f>'Ejemplo diario'!D26</f>
        <v/>
      </c>
      <c r="C85">
        <f>'Ejemplo diario'!E26</f>
        <v/>
      </c>
      <c r="D85">
        <f>B85-C85</f>
        <v/>
      </c>
    </row>
    <row r="86">
      <c r="A86" t="inlineStr">
        <is>
          <t>Sumas</t>
        </is>
      </c>
      <c r="B86">
        <f>SUM(B85:B85)</f>
        <v/>
      </c>
      <c r="C86">
        <f>SUM(C85:C85)</f>
        <v/>
      </c>
      <c r="D86">
        <f>D85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Cuenta</t>
        </is>
      </c>
      <c r="B1" t="inlineStr">
        <is>
          <t>Sumas Debe</t>
        </is>
      </c>
      <c r="C1" t="inlineStr">
        <is>
          <t>Sumas Haber</t>
        </is>
      </c>
      <c r="D1" t="inlineStr">
        <is>
          <t>Saldo deudor</t>
        </is>
      </c>
      <c r="E1" t="inlineStr">
        <is>
          <t>Saldo acreedor</t>
        </is>
      </c>
    </row>
    <row r="2">
      <c r="A2" t="inlineStr">
        <is>
          <t>Banco</t>
        </is>
      </c>
      <c r="B2">
        <f>SUMIF('Ejemplo diario'!$C$2:$C$28,A2,'Ejemplo diario'!$D$2:$D$28)</f>
        <v/>
      </c>
      <c r="C2">
        <f>SUMIF('Ejemplo diario'!$C$2:$C$28,A2,'Ejemplo diario'!$E$2:$E$28)</f>
        <v/>
      </c>
      <c r="D2">
        <f>MAX(B2-C2,0)</f>
        <v/>
      </c>
      <c r="E2">
        <f>MAX(C2-B2,0)</f>
        <v/>
      </c>
    </row>
    <row r="3">
      <c r="A3" t="inlineStr">
        <is>
          <t>Clientes</t>
        </is>
      </c>
      <c r="B3">
        <f>SUMIF('Ejemplo diario'!$C$2:$C$28,A3,'Ejemplo diario'!$D$2:$D$28)</f>
        <v/>
      </c>
      <c r="C3">
        <f>SUMIF('Ejemplo diario'!$C$2:$C$28,A3,'Ejemplo diario'!$E$2:$E$28)</f>
        <v/>
      </c>
      <c r="D3">
        <f>MAX(B3-C3,0)</f>
        <v/>
      </c>
      <c r="E3">
        <f>MAX(C3-B3,0)</f>
        <v/>
      </c>
    </row>
    <row r="4">
      <c r="A4" t="inlineStr">
        <is>
          <t>Materiales</t>
        </is>
      </c>
      <c r="B4">
        <f>SUMIF('Ejemplo diario'!$C$2:$C$28,A4,'Ejemplo diario'!$D$2:$D$28)</f>
        <v/>
      </c>
      <c r="C4">
        <f>SUMIF('Ejemplo diario'!$C$2:$C$28,A4,'Ejemplo diario'!$E$2:$E$28)</f>
        <v/>
      </c>
      <c r="D4">
        <f>MAX(B4-C4,0)</f>
        <v/>
      </c>
      <c r="E4">
        <f>MAX(C4-B4,0)</f>
        <v/>
      </c>
    </row>
    <row r="5">
      <c r="A5" t="inlineStr">
        <is>
          <t>IVA crédito fiscal</t>
        </is>
      </c>
      <c r="B5">
        <f>SUMIF('Ejemplo diario'!$C$2:$C$28,A5,'Ejemplo diario'!$D$2:$D$28)</f>
        <v/>
      </c>
      <c r="C5">
        <f>SUMIF('Ejemplo diario'!$C$2:$C$28,A5,'Ejemplo diario'!$E$2:$E$28)</f>
        <v/>
      </c>
      <c r="D5">
        <f>MAX(B5-C5,0)</f>
        <v/>
      </c>
      <c r="E5">
        <f>MAX(C5-B5,0)</f>
        <v/>
      </c>
    </row>
    <row r="6">
      <c r="A6" t="inlineStr">
        <is>
          <t>Arriendo pagado por anticipado</t>
        </is>
      </c>
      <c r="B6">
        <f>SUMIF('Ejemplo diario'!$C$2:$C$28,A6,'Ejemplo diario'!$D$2:$D$28)</f>
        <v/>
      </c>
      <c r="C6">
        <f>SUMIF('Ejemplo diario'!$C$2:$C$28,A6,'Ejemplo diario'!$E$2:$E$28)</f>
        <v/>
      </c>
      <c r="D6">
        <f>MAX(B6-C6,0)</f>
        <v/>
      </c>
      <c r="E6">
        <f>MAX(C6-B6,0)</f>
        <v/>
      </c>
    </row>
    <row r="7">
      <c r="A7" t="inlineStr">
        <is>
          <t>Maquinaria</t>
        </is>
      </c>
      <c r="B7">
        <f>SUMIF('Ejemplo diario'!$C$2:$C$28,A7,'Ejemplo diario'!$D$2:$D$28)</f>
        <v/>
      </c>
      <c r="C7">
        <f>SUMIF('Ejemplo diario'!$C$2:$C$28,A7,'Ejemplo diario'!$E$2:$E$28)</f>
        <v/>
      </c>
      <c r="D7">
        <f>MAX(B7-C7,0)</f>
        <v/>
      </c>
      <c r="E7">
        <f>MAX(C7-B7,0)</f>
        <v/>
      </c>
    </row>
    <row r="8">
      <c r="A8" t="inlineStr">
        <is>
          <t>Proveedores</t>
        </is>
      </c>
      <c r="B8">
        <f>SUMIF('Ejemplo diario'!$C$2:$C$28,A8,'Ejemplo diario'!$D$2:$D$28)</f>
        <v/>
      </c>
      <c r="C8">
        <f>SUMIF('Ejemplo diario'!$C$2:$C$28,A8,'Ejemplo diario'!$E$2:$E$28)</f>
        <v/>
      </c>
      <c r="D8">
        <f>MAX(B8-C8,0)</f>
        <v/>
      </c>
      <c r="E8">
        <f>MAX(C8-B8,0)</f>
        <v/>
      </c>
    </row>
    <row r="9">
      <c r="A9" t="inlineStr">
        <is>
          <t>Cuentas por pagar</t>
        </is>
      </c>
      <c r="B9">
        <f>SUMIF('Ejemplo diario'!$C$2:$C$28,A9,'Ejemplo diario'!$D$2:$D$28)</f>
        <v/>
      </c>
      <c r="C9">
        <f>SUMIF('Ejemplo diario'!$C$2:$C$28,A9,'Ejemplo diario'!$E$2:$E$28)</f>
        <v/>
      </c>
      <c r="D9">
        <f>MAX(B9-C9,0)</f>
        <v/>
      </c>
      <c r="E9">
        <f>MAX(C9-B9,0)</f>
        <v/>
      </c>
    </row>
    <row r="10">
      <c r="A10" t="inlineStr">
        <is>
          <t>IVA débito fiscal</t>
        </is>
      </c>
      <c r="B10">
        <f>SUMIF('Ejemplo diario'!$C$2:$C$28,A10,'Ejemplo diario'!$D$2:$D$28)</f>
        <v/>
      </c>
      <c r="C10">
        <f>SUMIF('Ejemplo diario'!$C$2:$C$28,A10,'Ejemplo diario'!$E$2:$E$28)</f>
        <v/>
      </c>
      <c r="D10">
        <f>MAX(B10-C10,0)</f>
        <v/>
      </c>
      <c r="E10">
        <f>MAX(C10-B10,0)</f>
        <v/>
      </c>
    </row>
    <row r="11">
      <c r="A11" t="inlineStr">
        <is>
          <t>Capital</t>
        </is>
      </c>
      <c r="B11">
        <f>SUMIF('Ejemplo diario'!$C$2:$C$28,A11,'Ejemplo diario'!$D$2:$D$28)</f>
        <v/>
      </c>
      <c r="C11">
        <f>SUMIF('Ejemplo diario'!$C$2:$C$28,A11,'Ejemplo diario'!$E$2:$E$28)</f>
        <v/>
      </c>
      <c r="D11">
        <f>MAX(B11-C11,0)</f>
        <v/>
      </c>
      <c r="E11">
        <f>MAX(C11-B11,0)</f>
        <v/>
      </c>
    </row>
    <row r="12">
      <c r="A12" t="inlineStr">
        <is>
          <t>Ventas</t>
        </is>
      </c>
      <c r="B12">
        <f>SUMIF('Ejemplo diario'!$C$2:$C$28,A12,'Ejemplo diario'!$D$2:$D$28)</f>
        <v/>
      </c>
      <c r="C12">
        <f>SUMIF('Ejemplo diario'!$C$2:$C$28,A12,'Ejemplo diario'!$E$2:$E$28)</f>
        <v/>
      </c>
      <c r="D12">
        <f>MAX(B12-C12,0)</f>
        <v/>
      </c>
      <c r="E12">
        <f>MAX(C12-B12,0)</f>
        <v/>
      </c>
    </row>
    <row r="13">
      <c r="A13" t="inlineStr">
        <is>
          <t>Costo de ventas</t>
        </is>
      </c>
      <c r="B13">
        <f>SUMIF('Ejemplo diario'!$C$2:$C$28,A13,'Ejemplo diario'!$D$2:$D$28)</f>
        <v/>
      </c>
      <c r="C13">
        <f>SUMIF('Ejemplo diario'!$C$2:$C$28,A13,'Ejemplo diario'!$E$2:$E$28)</f>
        <v/>
      </c>
      <c r="D13">
        <f>MAX(B13-C13,0)</f>
        <v/>
      </c>
      <c r="E13">
        <f>MAX(C13-B13,0)</f>
        <v/>
      </c>
    </row>
    <row r="14">
      <c r="A14" t="inlineStr">
        <is>
          <t>Arriendo</t>
        </is>
      </c>
      <c r="B14">
        <f>SUMIF('Ejemplo diario'!$C$2:$C$28,A14,'Ejemplo diario'!$D$2:$D$28)</f>
        <v/>
      </c>
      <c r="C14">
        <f>SUMIF('Ejemplo diario'!$C$2:$C$28,A14,'Ejemplo diario'!$E$2:$E$28)</f>
        <v/>
      </c>
      <c r="D14">
        <f>MAX(B14-C14,0)</f>
        <v/>
      </c>
      <c r="E14">
        <f>MAX(C14-B14,0)</f>
        <v/>
      </c>
    </row>
    <row r="15">
      <c r="A15" t="inlineStr">
        <is>
          <t>Sueldos</t>
        </is>
      </c>
      <c r="B15">
        <f>SUMIF('Ejemplo diario'!$C$2:$C$28,A15,'Ejemplo diario'!$D$2:$D$28)</f>
        <v/>
      </c>
      <c r="C15">
        <f>SUMIF('Ejemplo diario'!$C$2:$C$28,A15,'Ejemplo diario'!$E$2:$E$28)</f>
        <v/>
      </c>
      <c r="D15">
        <f>MAX(B15-C15,0)</f>
        <v/>
      </c>
      <c r="E15">
        <f>MAX(C15-B15,0)</f>
        <v/>
      </c>
    </row>
    <row r="16">
      <c r="A16" t="inlineStr">
        <is>
          <t>Electricidad</t>
        </is>
      </c>
      <c r="B16">
        <f>SUMIF('Ejemplo diario'!$C$2:$C$28,A16,'Ejemplo diario'!$D$2:$D$28)</f>
        <v/>
      </c>
      <c r="C16">
        <f>SUMIF('Ejemplo diario'!$C$2:$C$28,A16,'Ejemplo diario'!$E$2:$E$28)</f>
        <v/>
      </c>
      <c r="D16">
        <f>MAX(B16-C16,0)</f>
        <v/>
      </c>
      <c r="E16">
        <f>MAX(C16-B16,0)</f>
        <v/>
      </c>
    </row>
    <row r="17">
      <c r="A17" t="inlineStr">
        <is>
          <t>Totales</t>
        </is>
      </c>
      <c r="B17">
        <f>SUM(B2:B16)</f>
        <v/>
      </c>
      <c r="C17">
        <f>SUM(C2:C16)</f>
        <v/>
      </c>
      <c r="D17">
        <f>SUM(D2:D16)</f>
        <v/>
      </c>
      <c r="E17">
        <f>SUM(E2:E16)</f>
        <v/>
      </c>
    </row>
    <row r="18">
      <c r="A18" t="inlineStr">
        <is>
          <t>Sumas iguales (0)</t>
        </is>
      </c>
      <c r="B18">
        <f>B17-C17</f>
        <v/>
      </c>
      <c r="C18" t="inlineStr"/>
      <c r="D18">
        <f>D17-E17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2026-10-16T10:52:29Z</dcterms:created>
  <dcterms:modified xmlns:dcterms="http://purl.org/dc/terms/" xmlns:xsi="http://www.w3.org/2001/XMLSchema-instance" xsi:type="dcterms:W3CDTF">2026-10-16T10:52:29Z</dcterms:modified>
</cp:coreProperties>
</file>