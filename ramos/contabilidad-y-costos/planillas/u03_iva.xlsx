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" sheetId="1" state="visible" r:id="rId1"/>
    <sheet xmlns:r="http://schemas.openxmlformats.org/officeDocument/2006/relationships" name="Remanente 3.9" sheetId="2" state="visible" r:id="rId2"/>
    <sheet xmlns:r="http://schemas.openxmlformats.org/officeDocument/2006/relationships" name="Caso marz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1F4E9E"/>
    </font>
  </fonts>
  <fills count="3">
    <fill>
      <patternFill/>
    </fill>
    <fill>
      <patternFill patternType="gray125"/>
    </fill>
    <fill>
      <patternFill patternType="solid">
        <fgColor rgb="00F2F1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28" customWidth="1" min="3" max="3"/>
    <col width="14" customWidth="1" min="4" max="4"/>
    <col width="14" customWidth="1" min="5" max="5"/>
    <col width="3" customWidth="1" min="6" max="6"/>
    <col width="16" customWidth="1" min="7" max="7"/>
    <col width="14" customWidth="1" min="8" max="8"/>
  </cols>
  <sheetData>
    <row r="1">
      <c r="A1" s="1" t="inlineStr">
        <is>
          <t>Ciclo Austral · IVA de mayo (datos en azul; todo lo demás es fórmula)</t>
        </is>
      </c>
    </row>
    <row r="3">
      <c r="A3" t="inlineStr">
        <is>
          <t>Tasa de IVA</t>
        </is>
      </c>
      <c r="B3" s="2" t="n">
        <v>0.19</v>
      </c>
    </row>
    <row r="4">
      <c r="A4" t="inlineStr">
        <is>
          <t>Repuestos, neto</t>
        </is>
      </c>
      <c r="B4" s="2" t="n">
        <v>1840000</v>
      </c>
    </row>
    <row r="5">
      <c r="A5" t="inlineStr">
        <is>
          <t>Parte al contado de la compra</t>
        </is>
      </c>
      <c r="B5" s="2" t="n">
        <v>0.5</v>
      </c>
    </row>
    <row r="6">
      <c r="A6" t="inlineStr">
        <is>
          <t>Devolución, IVA incluido</t>
        </is>
      </c>
      <c r="B6" s="2" t="n">
        <v>107100</v>
      </c>
    </row>
    <row r="7">
      <c r="A7" t="inlineStr">
        <is>
          <t>Soporte de taller, neto</t>
        </is>
      </c>
      <c r="B7" s="2" t="n">
        <v>620000</v>
      </c>
    </row>
    <row r="8">
      <c r="A8" t="inlineStr">
        <is>
          <t>Ventas del mes, neto</t>
        </is>
      </c>
      <c r="B8" s="2" t="n">
        <v>3260000</v>
      </c>
    </row>
    <row r="9">
      <c r="A9" t="inlineStr">
        <is>
          <t>Parte al contado de las ventas</t>
        </is>
      </c>
      <c r="B9" s="2" t="n">
        <v>0.7</v>
      </c>
    </row>
    <row r="10">
      <c r="A10" t="inlineStr">
        <is>
          <t>Costo de lo vendido</t>
        </is>
      </c>
      <c r="B10" s="2" t="n">
        <v>1130000</v>
      </c>
    </row>
    <row r="11">
      <c r="A11" t="inlineStr">
        <is>
          <t>Luz e internet, IVA incluido</t>
        </is>
      </c>
      <c r="B11" s="2" t="n">
        <v>142800</v>
      </c>
    </row>
    <row r="13">
      <c r="A13" s="1" t="inlineStr">
        <is>
          <t>Libro diario</t>
        </is>
      </c>
    </row>
    <row r="14">
      <c r="A14" s="3" t="inlineStr">
        <is>
          <t>N.º</t>
        </is>
      </c>
      <c r="B14" s="3" t="inlineStr">
        <is>
          <t>Fecha</t>
        </is>
      </c>
      <c r="C14" s="3" t="inlineStr">
        <is>
          <t>Cuenta</t>
        </is>
      </c>
      <c r="D14" s="3" t="inlineStr">
        <is>
          <t>Debe</t>
        </is>
      </c>
      <c r="E14" s="3" t="inlineStr">
        <is>
          <t>Haber</t>
        </is>
      </c>
      <c r="G14" s="1" t="inlineStr">
        <is>
          <t>Liquidación</t>
        </is>
      </c>
    </row>
    <row r="15">
      <c r="A15" t="n">
        <v>1</v>
      </c>
      <c r="B15" t="inlineStr">
        <is>
          <t>04-05</t>
        </is>
      </c>
      <c r="C15" t="inlineStr">
        <is>
          <t>Mercaderías (repuestos)</t>
        </is>
      </c>
      <c r="D15">
        <f>B4</f>
        <v/>
      </c>
      <c r="G15" t="inlineStr">
        <is>
          <t>Débito fiscal</t>
        </is>
      </c>
      <c r="H15">
        <f>E28</f>
        <v/>
      </c>
    </row>
    <row r="16">
      <c r="C16" t="inlineStr">
        <is>
          <t>IVA crédito fiscal</t>
        </is>
      </c>
      <c r="D16">
        <f>ROUND(B4*B3,0)</f>
        <v/>
      </c>
      <c r="G16" t="inlineStr">
        <is>
          <t>Crédito fiscal</t>
        </is>
      </c>
      <c r="H16">
        <f>D16-E21+D23+D32</f>
        <v/>
      </c>
    </row>
    <row r="17">
      <c r="C17" t="inlineStr">
        <is>
          <t>Banco</t>
        </is>
      </c>
      <c r="E17">
        <f>ROUND((B4+ROUND(B4*B3,0))*B5,0)</f>
        <v/>
      </c>
      <c r="G17" t="inlineStr">
        <is>
          <t>IVA por pagar</t>
        </is>
      </c>
      <c r="H17">
        <f>MAX(H15-H16,0)</f>
        <v/>
      </c>
    </row>
    <row r="18">
      <c r="C18" t="inlineStr">
        <is>
          <t>Proveedores</t>
        </is>
      </c>
      <c r="E18">
        <f>B4+ROUND(B4*B3,0)-E17</f>
        <v/>
      </c>
      <c r="G18" t="inlineStr">
        <is>
          <t>Remanente</t>
        </is>
      </c>
      <c r="H18">
        <f>MAX(H16-H15,0)</f>
        <v/>
      </c>
    </row>
    <row r="19">
      <c r="A19" t="n">
        <v>2</v>
      </c>
      <c r="B19" t="inlineStr">
        <is>
          <t>08-05</t>
        </is>
      </c>
      <c r="C19" t="inlineStr">
        <is>
          <t>Proveedores</t>
        </is>
      </c>
      <c r="D19">
        <f>B6</f>
        <v/>
      </c>
    </row>
    <row r="20">
      <c r="C20" t="inlineStr">
        <is>
          <t>Mercaderías (repuestos)</t>
        </is>
      </c>
      <c r="E20">
        <f>ROUND(B6/(1+B3),0)</f>
        <v/>
      </c>
    </row>
    <row r="21">
      <c r="C21" t="inlineStr">
        <is>
          <t>IVA crédito fiscal</t>
        </is>
      </c>
      <c r="E21">
        <f>B6-E20</f>
        <v/>
      </c>
    </row>
    <row r="22">
      <c r="A22" t="n">
        <v>3</v>
      </c>
      <c r="B22" t="inlineStr">
        <is>
          <t>12-05</t>
        </is>
      </c>
      <c r="C22" t="inlineStr">
        <is>
          <t>Herramientas y equipos</t>
        </is>
      </c>
      <c r="D22">
        <f>B7</f>
        <v/>
      </c>
    </row>
    <row r="23">
      <c r="C23" t="inlineStr">
        <is>
          <t>IVA crédito fiscal</t>
        </is>
      </c>
      <c r="D23">
        <f>ROUND(B7*B3,0)</f>
        <v/>
      </c>
    </row>
    <row r="24">
      <c r="C24" t="inlineStr">
        <is>
          <t>Banco</t>
        </is>
      </c>
      <c r="E24">
        <f>D22+D23</f>
        <v/>
      </c>
    </row>
    <row r="25">
      <c r="A25" t="n">
        <v>4</v>
      </c>
      <c r="B25" t="inlineStr">
        <is>
          <t>20-05</t>
        </is>
      </c>
      <c r="C25" t="inlineStr">
        <is>
          <t>Banco</t>
        </is>
      </c>
      <c r="D25">
        <f>ROUND((B8+ROUND(B8*B3,0))*B9,0)</f>
        <v/>
      </c>
    </row>
    <row r="26">
      <c r="C26" t="inlineStr">
        <is>
          <t>Clientes</t>
        </is>
      </c>
      <c r="D26">
        <f>B8+ROUND(B8*B3,0)-D25</f>
        <v/>
      </c>
    </row>
    <row r="27">
      <c r="C27" t="inlineStr">
        <is>
          <t>Ventas</t>
        </is>
      </c>
      <c r="E27">
        <f>B8</f>
        <v/>
      </c>
    </row>
    <row r="28">
      <c r="C28" t="inlineStr">
        <is>
          <t>IVA débito fiscal</t>
        </is>
      </c>
      <c r="E28">
        <f>ROUND(B8*B3,0)</f>
        <v/>
      </c>
    </row>
    <row r="29">
      <c r="A29" t="n">
        <v>5</v>
      </c>
      <c r="B29" t="inlineStr">
        <is>
          <t>20-05</t>
        </is>
      </c>
      <c r="C29" t="inlineStr">
        <is>
          <t>Costo de ventas</t>
        </is>
      </c>
      <c r="D29">
        <f>B10</f>
        <v/>
      </c>
    </row>
    <row r="30">
      <c r="C30" t="inlineStr">
        <is>
          <t>Mercaderías (repuestos)</t>
        </is>
      </c>
      <c r="E30">
        <f>B10</f>
        <v/>
      </c>
    </row>
    <row r="31">
      <c r="A31" t="n">
        <v>6</v>
      </c>
      <c r="B31" t="inlineStr">
        <is>
          <t>28-05</t>
        </is>
      </c>
      <c r="C31" t="inlineStr">
        <is>
          <t>Gasto en luz e internet</t>
        </is>
      </c>
      <c r="D31">
        <f>ROUND(B11/(1+B3),0)</f>
        <v/>
      </c>
    </row>
    <row r="32">
      <c r="C32" t="inlineStr">
        <is>
          <t>IVA crédito fiscal</t>
        </is>
      </c>
      <c r="D32">
        <f>B11-D31</f>
        <v/>
      </c>
    </row>
    <row r="33">
      <c r="C33" t="inlineStr">
        <is>
          <t>Banco</t>
        </is>
      </c>
      <c r="E33">
        <f>B11</f>
        <v/>
      </c>
    </row>
    <row r="34">
      <c r="A34" t="n">
        <v>7</v>
      </c>
      <c r="B34" t="inlineStr">
        <is>
          <t>31-05</t>
        </is>
      </c>
      <c r="C34" t="inlineStr">
        <is>
          <t>IVA débito fiscal</t>
        </is>
      </c>
      <c r="D34">
        <f>E28</f>
        <v/>
      </c>
    </row>
    <row r="35">
      <c r="C35" t="inlineStr">
        <is>
          <t>IVA crédito fiscal</t>
        </is>
      </c>
      <c r="E35">
        <f>D16-E21+D23+D32</f>
        <v/>
      </c>
    </row>
    <row r="36">
      <c r="C36" t="inlineStr">
        <is>
          <t>IVA por pagar</t>
        </is>
      </c>
      <c r="E36">
        <f>D34-E35</f>
        <v/>
      </c>
    </row>
    <row r="37">
      <c r="A37" t="n">
        <v>8</v>
      </c>
      <c r="B37" t="inlineStr">
        <is>
          <t>12-06</t>
        </is>
      </c>
      <c r="C37" t="inlineStr">
        <is>
          <t>IVA por pagar</t>
        </is>
      </c>
      <c r="D37">
        <f>E36</f>
        <v/>
      </c>
    </row>
    <row r="38">
      <c r="C38" t="inlineStr">
        <is>
          <t>Banco</t>
        </is>
      </c>
      <c r="E38">
        <f>D37</f>
        <v/>
      </c>
    </row>
    <row r="39">
      <c r="C39" s="1" t="inlineStr">
        <is>
          <t>Sumas</t>
        </is>
      </c>
      <c r="D39" s="1">
        <f>SUM(D15:D38)</f>
        <v/>
      </c>
      <c r="E39" s="1">
        <f>SUM(E15:E38)</f>
        <v/>
      </c>
    </row>
    <row r="40">
      <c r="C40" t="inlineStr">
        <is>
          <t>Diferencia (debe dar 0)</t>
        </is>
      </c>
      <c r="D40">
        <f>D39-E39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Florería · tres meses de IVA (datos en azul)</t>
        </is>
      </c>
    </row>
    <row r="3">
      <c r="A3" s="3" t="inlineStr">
        <is>
          <t>Mes</t>
        </is>
      </c>
      <c r="B3" s="3" t="inlineStr">
        <is>
          <t>Ventas netas</t>
        </is>
      </c>
      <c r="C3" s="3" t="inlineStr">
        <is>
          <t>Compras netas</t>
        </is>
      </c>
      <c r="D3" s="3" t="inlineStr">
        <is>
          <t>Activo fijo neto</t>
        </is>
      </c>
      <c r="E3" s="3" t="inlineStr">
        <is>
          <t>Débito</t>
        </is>
      </c>
      <c r="F3" s="3" t="inlineStr">
        <is>
          <t>Crédito</t>
        </is>
      </c>
      <c r="G3" s="3" t="inlineStr">
        <is>
          <t>Remanente que llega</t>
        </is>
      </c>
      <c r="H3" s="3" t="inlineStr">
        <is>
          <t>IVA a pagar</t>
        </is>
      </c>
      <c r="I3" s="3" t="inlineStr">
        <is>
          <t>Remanente que sigue</t>
        </is>
      </c>
      <c r="K3" t="inlineStr">
        <is>
          <t>Tasa</t>
        </is>
      </c>
      <c r="L3" t="n">
        <v>0.19</v>
      </c>
    </row>
    <row r="4">
      <c r="A4" t="inlineStr">
        <is>
          <t>Marzo</t>
        </is>
      </c>
      <c r="B4" s="2" t="n">
        <v>1820000</v>
      </c>
      <c r="C4" s="2" t="n">
        <v>1160000</v>
      </c>
      <c r="D4" s="2" t="n">
        <v>4260000</v>
      </c>
      <c r="E4">
        <f>ROUND(B4*$L$3,0)</f>
        <v/>
      </c>
      <c r="F4">
        <f>ROUND(C4*$L$3,0)+ROUND(D4*$L$3,0)</f>
        <v/>
      </c>
      <c r="G4" t="n">
        <v>0</v>
      </c>
      <c r="H4">
        <f>MAX(E4-F4-G4,0)</f>
        <v/>
      </c>
      <c r="I4">
        <f>MAX(F4+G4-E4,0)</f>
        <v/>
      </c>
    </row>
    <row r="5">
      <c r="A5" t="inlineStr">
        <is>
          <t>Abril</t>
        </is>
      </c>
      <c r="B5" s="2" t="n">
        <v>2630000</v>
      </c>
      <c r="C5" s="2" t="n">
        <v>1480000</v>
      </c>
      <c r="D5" s="2" t="n">
        <v>0</v>
      </c>
      <c r="E5">
        <f>ROUND(B5*$L$3,0)</f>
        <v/>
      </c>
      <c r="F5">
        <f>ROUND(C5*$L$3,0)+ROUND(D5*$L$3,0)</f>
        <v/>
      </c>
      <c r="G5">
        <f>I4</f>
        <v/>
      </c>
      <c r="H5">
        <f>MAX(E5-F5-G5,0)</f>
        <v/>
      </c>
      <c r="I5">
        <f>MAX(F5+G5-E5,0)</f>
        <v/>
      </c>
    </row>
    <row r="6">
      <c r="A6" t="inlineStr">
        <is>
          <t>Mayo</t>
        </is>
      </c>
      <c r="B6" s="2" t="n">
        <v>4960000</v>
      </c>
      <c r="C6" s="2" t="n">
        <v>2140000</v>
      </c>
      <c r="D6" s="2" t="n">
        <v>0</v>
      </c>
      <c r="E6">
        <f>ROUND(B6*$L$3,0)</f>
        <v/>
      </c>
      <c r="F6">
        <f>ROUND(C6*$L$3,0)+ROUND(D6*$L$3,0)</f>
        <v/>
      </c>
      <c r="G6">
        <f>I5</f>
        <v/>
      </c>
      <c r="H6">
        <f>MAX(E6-F6-G6,0)</f>
        <v/>
      </c>
      <c r="I6">
        <f>MAX(F6+G6-E6,0)</f>
        <v/>
      </c>
    </row>
    <row r="8">
      <c r="A8" t="inlineStr">
        <is>
          <t>Total pagado en los tres meses</t>
        </is>
      </c>
      <c r="H8">
        <f>SUM(H4:H6)</f>
        <v/>
      </c>
    </row>
    <row r="9">
      <c r="A9" t="inlineStr">
        <is>
          <t>Débito total menos crédito total</t>
        </is>
      </c>
      <c r="H9">
        <f>SUM(E4:E6)-SUM(F4:F6)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2" max="2"/>
    <col width="16" customWidth="1" min="3" max="3"/>
    <col width="16" customWidth="1" min="4" max="4"/>
  </cols>
  <sheetData>
    <row r="1">
      <c r="A1" s="1" t="inlineStr">
        <is>
          <t>Estampa Sur · IVA de marzo (netos del caso integrador)</t>
        </is>
      </c>
    </row>
    <row r="3">
      <c r="A3" s="3" t="inlineStr">
        <is>
          <t>Asiento</t>
        </is>
      </c>
      <c r="B3" s="3" t="inlineStr">
        <is>
          <t>Operación</t>
        </is>
      </c>
      <c r="C3" s="3" t="inlineStr">
        <is>
          <t>Neto</t>
        </is>
      </c>
      <c r="D3" s="3" t="inlineStr">
        <is>
          <t>IVA</t>
        </is>
      </c>
      <c r="F3" t="inlineStr">
        <is>
          <t>Tasa</t>
        </is>
      </c>
      <c r="G3" t="n">
        <v>0.19</v>
      </c>
    </row>
    <row r="4">
      <c r="A4" t="n">
        <v>1</v>
      </c>
      <c r="B4" t="inlineStr">
        <is>
          <t>Poleras lisas básicas</t>
        </is>
      </c>
      <c r="C4" s="2" t="n">
        <v>5145000</v>
      </c>
      <c r="D4">
        <f>ROUND(C4*$G$3,0)</f>
        <v/>
      </c>
    </row>
    <row r="5">
      <c r="A5" t="n">
        <v>2</v>
      </c>
      <c r="B5" t="inlineStr">
        <is>
          <t>Otras prendas lisas</t>
        </is>
      </c>
      <c r="C5" s="2" t="n">
        <v>10166980</v>
      </c>
      <c r="D5">
        <f>ROUND(C5*$G$3,0)</f>
        <v/>
      </c>
    </row>
    <row r="6">
      <c r="A6" t="n">
        <v>3</v>
      </c>
      <c r="B6" t="inlineStr">
        <is>
          <t>Tinta</t>
        </is>
      </c>
      <c r="C6" s="2" t="n">
        <v>1176731</v>
      </c>
      <c r="D6">
        <f>ROUND(C6*$G$3,0)</f>
        <v/>
      </c>
    </row>
    <row r="7">
      <c r="A7" t="n">
        <v>4</v>
      </c>
      <c r="B7" t="inlineStr">
        <is>
          <t>Segunda máquina</t>
        </is>
      </c>
      <c r="C7" s="2" t="n">
        <v>14300000</v>
      </c>
      <c r="D7">
        <f>ROUND(C7*$G$3,0)</f>
        <v/>
      </c>
    </row>
    <row r="8">
      <c r="A8" t="n">
        <v>9</v>
      </c>
      <c r="B8" t="inlineStr">
        <is>
          <t>Seguro anual</t>
        </is>
      </c>
      <c r="C8" s="2" t="n">
        <v>948000</v>
      </c>
      <c r="D8">
        <f>ROUND(C8*$G$3,0)</f>
        <v/>
      </c>
    </row>
    <row r="9">
      <c r="A9" t="n">
        <v>12</v>
      </c>
      <c r="B9" t="inlineStr">
        <is>
          <t>Otros gastos de administración</t>
        </is>
      </c>
      <c r="C9" s="2" t="n">
        <v>436000</v>
      </c>
      <c r="D9">
        <f>ROUND(C9*$G$3,0)</f>
        <v/>
      </c>
    </row>
    <row r="10">
      <c r="B10" s="1" t="inlineStr">
        <is>
          <t>Crédito fiscal</t>
        </is>
      </c>
      <c r="D10">
        <f>SUM(D4:D9)</f>
        <v/>
      </c>
    </row>
    <row r="11">
      <c r="A11" t="n">
        <v>6</v>
      </c>
      <c r="B11" t="inlineStr">
        <is>
          <t>Ventas (débito fiscal)</t>
        </is>
      </c>
      <c r="C11" s="2" t="n">
        <v>25726200</v>
      </c>
      <c r="D11">
        <f>ROUND(C11*$G$3,0)</f>
        <v/>
      </c>
    </row>
    <row r="12">
      <c r="B12" t="inlineStr">
        <is>
          <t>IVA por pagar</t>
        </is>
      </c>
      <c r="D12">
        <f>MAX(D11-D10,0)</f>
        <v/>
      </c>
    </row>
    <row r="13">
      <c r="B13" t="inlineStr">
        <is>
          <t>Remanente para abril</t>
        </is>
      </c>
      <c r="D13">
        <f>MAX(D10-D11,0)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2026-10-16T10:52:29Z</dcterms:created>
  <dcterms:modified xmlns:dcterms="http://purl.org/dc/terms/" xmlns:xsi="http://www.w3.org/2001/XMLSchema-instance" xsi:type="dcterms:W3CDTF">2026-10-16T10:52:29Z</dcterms:modified>
</cp:coreProperties>
</file>