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 Estampa Sur" sheetId="1" state="visible" r:id="rId1"/>
    <sheet xmlns:r="http://schemas.openxmlformats.org/officeDocument/2006/relationships" name="Ejemplo Masa Mad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Monto del préstamo</t>
        </is>
      </c>
      <c r="B1" s="1" t="n">
        <v>6400000</v>
      </c>
      <c r="D1" t="inlineStr">
        <is>
          <t>Préstamo bancario de marzo. Cierre al 31-03: la cuota 1 se paga el 01-04.</t>
        </is>
      </c>
    </row>
    <row r="2">
      <c r="A2" t="inlineStr">
        <is>
          <t>Tasa mensual</t>
        </is>
      </c>
      <c r="B2" s="2" t="n">
        <v>0.0115</v>
      </c>
    </row>
    <row r="3">
      <c r="A3" t="inlineStr">
        <is>
          <t>Número de cuotas</t>
        </is>
      </c>
      <c r="B3" t="n">
        <v>24</v>
      </c>
    </row>
    <row r="4">
      <c r="A4" t="inlineStr">
        <is>
          <t>Cuota (P·i / (1 − (1+i)^−n))</t>
        </is>
      </c>
      <c r="B4" s="1">
        <f>B1*B2/(1-(1+B2)^(0-B3))</f>
        <v/>
      </c>
    </row>
    <row r="5">
      <c r="A5" t="inlineStr">
        <is>
          <t>Cuotas pagadas al cierre</t>
        </is>
      </c>
      <c r="B5" t="n">
        <v>0</v>
      </c>
    </row>
    <row r="7">
      <c r="A7" s="3" t="inlineStr">
        <is>
          <t>Cuota N.º</t>
        </is>
      </c>
      <c r="B7" s="3" t="inlineStr">
        <is>
          <t>Saldo inicial</t>
        </is>
      </c>
      <c r="C7" s="3" t="inlineStr">
        <is>
          <t>Interés</t>
        </is>
      </c>
      <c r="D7" s="3" t="inlineStr">
        <is>
          <t>Amortización</t>
        </is>
      </c>
      <c r="E7" s="3" t="inlineStr">
        <is>
          <t>Cuota</t>
        </is>
      </c>
      <c r="F7" s="3" t="inlineStr">
        <is>
          <t>Saldo final</t>
        </is>
      </c>
    </row>
    <row r="8">
      <c r="A8" t="n">
        <v>1</v>
      </c>
      <c r="B8" s="1">
        <f>B1</f>
        <v/>
      </c>
      <c r="C8" s="1">
        <f>B8*$B$2</f>
        <v/>
      </c>
      <c r="D8" s="1">
        <f>E8-C8</f>
        <v/>
      </c>
      <c r="E8" s="1">
        <f>$B$4</f>
        <v/>
      </c>
      <c r="F8" s="1">
        <f>B8-D8</f>
        <v/>
      </c>
    </row>
    <row r="9">
      <c r="A9" t="n">
        <v>2</v>
      </c>
      <c r="B9" s="1">
        <f>F8</f>
        <v/>
      </c>
      <c r="C9" s="1">
        <f>B9*$B$2</f>
        <v/>
      </c>
      <c r="D9" s="1">
        <f>E9-C9</f>
        <v/>
      </c>
      <c r="E9" s="1">
        <f>$B$4</f>
        <v/>
      </c>
      <c r="F9" s="1">
        <f>B9-D9</f>
        <v/>
      </c>
    </row>
    <row r="10">
      <c r="A10" t="n">
        <v>3</v>
      </c>
      <c r="B10" s="1">
        <f>F9</f>
        <v/>
      </c>
      <c r="C10" s="1">
        <f>B10*$B$2</f>
        <v/>
      </c>
      <c r="D10" s="1">
        <f>E10-C10</f>
        <v/>
      </c>
      <c r="E10" s="1">
        <f>$B$4</f>
        <v/>
      </c>
      <c r="F10" s="1">
        <f>B10-D10</f>
        <v/>
      </c>
    </row>
    <row r="11">
      <c r="A11" t="n">
        <v>4</v>
      </c>
      <c r="B11" s="1">
        <f>F10</f>
        <v/>
      </c>
      <c r="C11" s="1">
        <f>B11*$B$2</f>
        <v/>
      </c>
      <c r="D11" s="1">
        <f>E11-C11</f>
        <v/>
      </c>
      <c r="E11" s="1">
        <f>$B$4</f>
        <v/>
      </c>
      <c r="F11" s="1">
        <f>B11-D11</f>
        <v/>
      </c>
    </row>
    <row r="12">
      <c r="A12" t="n">
        <v>5</v>
      </c>
      <c r="B12" s="1">
        <f>F11</f>
        <v/>
      </c>
      <c r="C12" s="1">
        <f>B12*$B$2</f>
        <v/>
      </c>
      <c r="D12" s="1">
        <f>E12-C12</f>
        <v/>
      </c>
      <c r="E12" s="1">
        <f>$B$4</f>
        <v/>
      </c>
      <c r="F12" s="1">
        <f>B12-D12</f>
        <v/>
      </c>
    </row>
    <row r="13">
      <c r="A13" t="n">
        <v>6</v>
      </c>
      <c r="B13" s="1">
        <f>F12</f>
        <v/>
      </c>
      <c r="C13" s="1">
        <f>B13*$B$2</f>
        <v/>
      </c>
      <c r="D13" s="1">
        <f>E13-C13</f>
        <v/>
      </c>
      <c r="E13" s="1">
        <f>$B$4</f>
        <v/>
      </c>
      <c r="F13" s="1">
        <f>B13-D13</f>
        <v/>
      </c>
    </row>
    <row r="14">
      <c r="A14" t="n">
        <v>7</v>
      </c>
      <c r="B14" s="1">
        <f>F13</f>
        <v/>
      </c>
      <c r="C14" s="1">
        <f>B14*$B$2</f>
        <v/>
      </c>
      <c r="D14" s="1">
        <f>E14-C14</f>
        <v/>
      </c>
      <c r="E14" s="1">
        <f>$B$4</f>
        <v/>
      </c>
      <c r="F14" s="1">
        <f>B14-D14</f>
        <v/>
      </c>
    </row>
    <row r="15">
      <c r="A15" t="n">
        <v>8</v>
      </c>
      <c r="B15" s="1">
        <f>F14</f>
        <v/>
      </c>
      <c r="C15" s="1">
        <f>B15*$B$2</f>
        <v/>
      </c>
      <c r="D15" s="1">
        <f>E15-C15</f>
        <v/>
      </c>
      <c r="E15" s="1">
        <f>$B$4</f>
        <v/>
      </c>
      <c r="F15" s="1">
        <f>B15-D15</f>
        <v/>
      </c>
    </row>
    <row r="16">
      <c r="A16" t="n">
        <v>9</v>
      </c>
      <c r="B16" s="1">
        <f>F15</f>
        <v/>
      </c>
      <c r="C16" s="1">
        <f>B16*$B$2</f>
        <v/>
      </c>
      <c r="D16" s="1">
        <f>E16-C16</f>
        <v/>
      </c>
      <c r="E16" s="1">
        <f>$B$4</f>
        <v/>
      </c>
      <c r="F16" s="1">
        <f>B16-D16</f>
        <v/>
      </c>
    </row>
    <row r="17">
      <c r="A17" t="n">
        <v>10</v>
      </c>
      <c r="B17" s="1">
        <f>F16</f>
        <v/>
      </c>
      <c r="C17" s="1">
        <f>B17*$B$2</f>
        <v/>
      </c>
      <c r="D17" s="1">
        <f>E17-C17</f>
        <v/>
      </c>
      <c r="E17" s="1">
        <f>$B$4</f>
        <v/>
      </c>
      <c r="F17" s="1">
        <f>B17-D17</f>
        <v/>
      </c>
    </row>
    <row r="18">
      <c r="A18" t="n">
        <v>11</v>
      </c>
      <c r="B18" s="1">
        <f>F17</f>
        <v/>
      </c>
      <c r="C18" s="1">
        <f>B18*$B$2</f>
        <v/>
      </c>
      <c r="D18" s="1">
        <f>E18-C18</f>
        <v/>
      </c>
      <c r="E18" s="1">
        <f>$B$4</f>
        <v/>
      </c>
      <c r="F18" s="1">
        <f>B18-D18</f>
        <v/>
      </c>
    </row>
    <row r="19">
      <c r="A19" t="n">
        <v>12</v>
      </c>
      <c r="B19" s="1">
        <f>F18</f>
        <v/>
      </c>
      <c r="C19" s="1">
        <f>B19*$B$2</f>
        <v/>
      </c>
      <c r="D19" s="1">
        <f>E19-C19</f>
        <v/>
      </c>
      <c r="E19" s="1">
        <f>$B$4</f>
        <v/>
      </c>
      <c r="F19" s="1">
        <f>B19-D19</f>
        <v/>
      </c>
    </row>
    <row r="20">
      <c r="A20" t="n">
        <v>13</v>
      </c>
      <c r="B20" s="1">
        <f>F19</f>
        <v/>
      </c>
      <c r="C20" s="1">
        <f>B20*$B$2</f>
        <v/>
      </c>
      <c r="D20" s="1">
        <f>E20-C20</f>
        <v/>
      </c>
      <c r="E20" s="1">
        <f>$B$4</f>
        <v/>
      </c>
      <c r="F20" s="1">
        <f>B20-D20</f>
        <v/>
      </c>
    </row>
    <row r="21">
      <c r="A21" t="n">
        <v>14</v>
      </c>
      <c r="B21" s="1">
        <f>F20</f>
        <v/>
      </c>
      <c r="C21" s="1">
        <f>B21*$B$2</f>
        <v/>
      </c>
      <c r="D21" s="1">
        <f>E21-C21</f>
        <v/>
      </c>
      <c r="E21" s="1">
        <f>$B$4</f>
        <v/>
      </c>
      <c r="F21" s="1">
        <f>B21-D21</f>
        <v/>
      </c>
    </row>
    <row r="22">
      <c r="A22" t="n">
        <v>15</v>
      </c>
      <c r="B22" s="1">
        <f>F21</f>
        <v/>
      </c>
      <c r="C22" s="1">
        <f>B22*$B$2</f>
        <v/>
      </c>
      <c r="D22" s="1">
        <f>E22-C22</f>
        <v/>
      </c>
      <c r="E22" s="1">
        <f>$B$4</f>
        <v/>
      </c>
      <c r="F22" s="1">
        <f>B22-D22</f>
        <v/>
      </c>
    </row>
    <row r="23">
      <c r="A23" t="n">
        <v>16</v>
      </c>
      <c r="B23" s="1">
        <f>F22</f>
        <v/>
      </c>
      <c r="C23" s="1">
        <f>B23*$B$2</f>
        <v/>
      </c>
      <c r="D23" s="1">
        <f>E23-C23</f>
        <v/>
      </c>
      <c r="E23" s="1">
        <f>$B$4</f>
        <v/>
      </c>
      <c r="F23" s="1">
        <f>B23-D23</f>
        <v/>
      </c>
    </row>
    <row r="24">
      <c r="A24" t="n">
        <v>17</v>
      </c>
      <c r="B24" s="1">
        <f>F23</f>
        <v/>
      </c>
      <c r="C24" s="1">
        <f>B24*$B$2</f>
        <v/>
      </c>
      <c r="D24" s="1">
        <f>E24-C24</f>
        <v/>
      </c>
      <c r="E24" s="1">
        <f>$B$4</f>
        <v/>
      </c>
      <c r="F24" s="1">
        <f>B24-D24</f>
        <v/>
      </c>
    </row>
    <row r="25">
      <c r="A25" t="n">
        <v>18</v>
      </c>
      <c r="B25" s="1">
        <f>F24</f>
        <v/>
      </c>
      <c r="C25" s="1">
        <f>B25*$B$2</f>
        <v/>
      </c>
      <c r="D25" s="1">
        <f>E25-C25</f>
        <v/>
      </c>
      <c r="E25" s="1">
        <f>$B$4</f>
        <v/>
      </c>
      <c r="F25" s="1">
        <f>B25-D25</f>
        <v/>
      </c>
    </row>
    <row r="26">
      <c r="A26" t="n">
        <v>19</v>
      </c>
      <c r="B26" s="1">
        <f>F25</f>
        <v/>
      </c>
      <c r="C26" s="1">
        <f>B26*$B$2</f>
        <v/>
      </c>
      <c r="D26" s="1">
        <f>E26-C26</f>
        <v/>
      </c>
      <c r="E26" s="1">
        <f>$B$4</f>
        <v/>
      </c>
      <c r="F26" s="1">
        <f>B26-D26</f>
        <v/>
      </c>
    </row>
    <row r="27">
      <c r="A27" t="n">
        <v>20</v>
      </c>
      <c r="B27" s="1">
        <f>F26</f>
        <v/>
      </c>
      <c r="C27" s="1">
        <f>B27*$B$2</f>
        <v/>
      </c>
      <c r="D27" s="1">
        <f>E27-C27</f>
        <v/>
      </c>
      <c r="E27" s="1">
        <f>$B$4</f>
        <v/>
      </c>
      <c r="F27" s="1">
        <f>B27-D27</f>
        <v/>
      </c>
    </row>
    <row r="28">
      <c r="A28" t="n">
        <v>21</v>
      </c>
      <c r="B28" s="1">
        <f>F27</f>
        <v/>
      </c>
      <c r="C28" s="1">
        <f>B28*$B$2</f>
        <v/>
      </c>
      <c r="D28" s="1">
        <f>E28-C28</f>
        <v/>
      </c>
      <c r="E28" s="1">
        <f>$B$4</f>
        <v/>
      </c>
      <c r="F28" s="1">
        <f>B28-D28</f>
        <v/>
      </c>
    </row>
    <row r="29">
      <c r="A29" t="n">
        <v>22</v>
      </c>
      <c r="B29" s="1">
        <f>F28</f>
        <v/>
      </c>
      <c r="C29" s="1">
        <f>B29*$B$2</f>
        <v/>
      </c>
      <c r="D29" s="1">
        <f>E29-C29</f>
        <v/>
      </c>
      <c r="E29" s="1">
        <f>$B$4</f>
        <v/>
      </c>
      <c r="F29" s="1">
        <f>B29-D29</f>
        <v/>
      </c>
    </row>
    <row r="30">
      <c r="A30" t="n">
        <v>23</v>
      </c>
      <c r="B30" s="1">
        <f>F29</f>
        <v/>
      </c>
      <c r="C30" s="1">
        <f>B30*$B$2</f>
        <v/>
      </c>
      <c r="D30" s="1">
        <f>E30-C30</f>
        <v/>
      </c>
      <c r="E30" s="1">
        <f>$B$4</f>
        <v/>
      </c>
      <c r="F30" s="1">
        <f>B30-D30</f>
        <v/>
      </c>
    </row>
    <row r="31">
      <c r="A31" t="n">
        <v>24</v>
      </c>
      <c r="B31" s="1">
        <f>F30</f>
        <v/>
      </c>
      <c r="C31" s="1">
        <f>B31*$B$2</f>
        <v/>
      </c>
      <c r="D31" s="1">
        <f>E31-C31</f>
        <v/>
      </c>
      <c r="E31" s="1">
        <f>$B$4</f>
        <v/>
      </c>
      <c r="F31" s="1">
        <f>B31-D31</f>
        <v/>
      </c>
    </row>
    <row r="32">
      <c r="A32" t="inlineStr">
        <is>
          <t>Totales</t>
        </is>
      </c>
      <c r="B32" s="1" t="n"/>
      <c r="C32" s="1">
        <f>SUM(C8:C31)</f>
        <v/>
      </c>
      <c r="D32" s="1">
        <f>SUM(D8:D31)</f>
        <v/>
      </c>
      <c r="E32" s="1">
        <f>SUM(E8:E31)</f>
        <v/>
      </c>
      <c r="F32" s="1" t="n"/>
    </row>
    <row r="34">
      <c r="A34" s="4" t="inlineStr">
        <is>
          <t>Saldo de capital al cierre</t>
        </is>
      </c>
      <c r="B34" s="1">
        <f>B1</f>
        <v/>
      </c>
      <c r="C34" s="1" t="n"/>
      <c r="D34" s="1" t="n"/>
      <c r="E34" s="1" t="n"/>
      <c r="F34" s="1" t="n"/>
    </row>
    <row r="35">
      <c r="A35" s="4" t="inlineStr">
        <is>
          <t>Interés devengado al cierre (de la cuota siguiente)</t>
        </is>
      </c>
      <c r="B35" s="1">
        <f>C8</f>
        <v/>
      </c>
      <c r="C35" s="1" t="n"/>
      <c r="D35" s="1" t="n"/>
      <c r="E35" s="1" t="n"/>
      <c r="F35" s="1" t="n"/>
    </row>
    <row r="36">
      <c r="A36" s="3" t="inlineStr">
        <is>
          <t>Porción corriente (capital de las 12 cuotas siguientes)</t>
        </is>
      </c>
      <c r="B36" s="1">
        <f>SUM(D8:D19)</f>
        <v/>
      </c>
      <c r="C36" s="1" t="n"/>
      <c r="D36" s="1" t="n"/>
      <c r="E36" s="1" t="n"/>
      <c r="F36" s="1" t="n"/>
    </row>
    <row r="37">
      <c r="A37" s="3" t="inlineStr">
        <is>
          <t>Porción no corriente</t>
        </is>
      </c>
      <c r="B37" s="1">
        <f>F19</f>
        <v/>
      </c>
      <c r="C37" s="1" t="n"/>
      <c r="D37" s="1" t="n"/>
      <c r="E37" s="1" t="n"/>
      <c r="F37" s="1" t="n"/>
    </row>
    <row r="38">
      <c r="A38" s="4" t="inlineStr">
        <is>
          <t>Comprobación: corriente + no corriente − saldo (debe dar 0)</t>
        </is>
      </c>
      <c r="B38" s="1">
        <f>B36+B37-B34</f>
        <v/>
      </c>
      <c r="C38" s="1" t="n"/>
      <c r="D38" s="1" t="n"/>
      <c r="E38" s="1" t="n"/>
      <c r="F38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Monto del préstamo</t>
        </is>
      </c>
      <c r="B1" s="1" t="n">
        <v>7350000</v>
      </c>
      <c r="D1" t="inlineStr">
        <is>
          <t>Recibido el 01-10-2026; cuotas el día 1 desde el 01-11-2026; cierre al 31-12-2026.</t>
        </is>
      </c>
    </row>
    <row r="2">
      <c r="A2" t="inlineStr">
        <is>
          <t>Tasa mensual</t>
        </is>
      </c>
      <c r="B2" s="2" t="n">
        <v>0.0135</v>
      </c>
    </row>
    <row r="3">
      <c r="A3" t="inlineStr">
        <is>
          <t>Número de cuotas</t>
        </is>
      </c>
      <c r="B3" t="n">
        <v>18</v>
      </c>
    </row>
    <row r="4">
      <c r="A4" t="inlineStr">
        <is>
          <t>Cuota (P·i / (1 − (1+i)^−n))</t>
        </is>
      </c>
      <c r="B4" s="1">
        <f>B1*B2/(1-(1+B2)^(0-B3))</f>
        <v/>
      </c>
    </row>
    <row r="5">
      <c r="A5" t="inlineStr">
        <is>
          <t>Cuotas pagadas al cierre</t>
        </is>
      </c>
      <c r="B5" t="n">
        <v>2</v>
      </c>
    </row>
    <row r="7">
      <c r="A7" s="3" t="inlineStr">
        <is>
          <t>Cuota N.º</t>
        </is>
      </c>
      <c r="B7" s="3" t="inlineStr">
        <is>
          <t>Saldo inicial</t>
        </is>
      </c>
      <c r="C7" s="3" t="inlineStr">
        <is>
          <t>Interés</t>
        </is>
      </c>
      <c r="D7" s="3" t="inlineStr">
        <is>
          <t>Amortización</t>
        </is>
      </c>
      <c r="E7" s="3" t="inlineStr">
        <is>
          <t>Cuota</t>
        </is>
      </c>
      <c r="F7" s="3" t="inlineStr">
        <is>
          <t>Saldo final</t>
        </is>
      </c>
    </row>
    <row r="8">
      <c r="A8" t="n">
        <v>1</v>
      </c>
      <c r="B8" s="1">
        <f>B1</f>
        <v/>
      </c>
      <c r="C8" s="1">
        <f>B8*$B$2</f>
        <v/>
      </c>
      <c r="D8" s="1">
        <f>E8-C8</f>
        <v/>
      </c>
      <c r="E8" s="1">
        <f>$B$4</f>
        <v/>
      </c>
      <c r="F8" s="1">
        <f>B8-D8</f>
        <v/>
      </c>
    </row>
    <row r="9">
      <c r="A9" t="n">
        <v>2</v>
      </c>
      <c r="B9" s="1">
        <f>F8</f>
        <v/>
      </c>
      <c r="C9" s="1">
        <f>B9*$B$2</f>
        <v/>
      </c>
      <c r="D9" s="1">
        <f>E9-C9</f>
        <v/>
      </c>
      <c r="E9" s="1">
        <f>$B$4</f>
        <v/>
      </c>
      <c r="F9" s="1">
        <f>B9-D9</f>
        <v/>
      </c>
    </row>
    <row r="10">
      <c r="A10" t="n">
        <v>3</v>
      </c>
      <c r="B10" s="1">
        <f>F9</f>
        <v/>
      </c>
      <c r="C10" s="1">
        <f>B10*$B$2</f>
        <v/>
      </c>
      <c r="D10" s="1">
        <f>E10-C10</f>
        <v/>
      </c>
      <c r="E10" s="1">
        <f>$B$4</f>
        <v/>
      </c>
      <c r="F10" s="1">
        <f>B10-D10</f>
        <v/>
      </c>
    </row>
    <row r="11">
      <c r="A11" t="n">
        <v>4</v>
      </c>
      <c r="B11" s="1">
        <f>F10</f>
        <v/>
      </c>
      <c r="C11" s="1">
        <f>B11*$B$2</f>
        <v/>
      </c>
      <c r="D11" s="1">
        <f>E11-C11</f>
        <v/>
      </c>
      <c r="E11" s="1">
        <f>$B$4</f>
        <v/>
      </c>
      <c r="F11" s="1">
        <f>B11-D11</f>
        <v/>
      </c>
    </row>
    <row r="12">
      <c r="A12" t="n">
        <v>5</v>
      </c>
      <c r="B12" s="1">
        <f>F11</f>
        <v/>
      </c>
      <c r="C12" s="1">
        <f>B12*$B$2</f>
        <v/>
      </c>
      <c r="D12" s="1">
        <f>E12-C12</f>
        <v/>
      </c>
      <c r="E12" s="1">
        <f>$B$4</f>
        <v/>
      </c>
      <c r="F12" s="1">
        <f>B12-D12</f>
        <v/>
      </c>
    </row>
    <row r="13">
      <c r="A13" t="n">
        <v>6</v>
      </c>
      <c r="B13" s="1">
        <f>F12</f>
        <v/>
      </c>
      <c r="C13" s="1">
        <f>B13*$B$2</f>
        <v/>
      </c>
      <c r="D13" s="1">
        <f>E13-C13</f>
        <v/>
      </c>
      <c r="E13" s="1">
        <f>$B$4</f>
        <v/>
      </c>
      <c r="F13" s="1">
        <f>B13-D13</f>
        <v/>
      </c>
    </row>
    <row r="14">
      <c r="A14" t="n">
        <v>7</v>
      </c>
      <c r="B14" s="1">
        <f>F13</f>
        <v/>
      </c>
      <c r="C14" s="1">
        <f>B14*$B$2</f>
        <v/>
      </c>
      <c r="D14" s="1">
        <f>E14-C14</f>
        <v/>
      </c>
      <c r="E14" s="1">
        <f>$B$4</f>
        <v/>
      </c>
      <c r="F14" s="1">
        <f>B14-D14</f>
        <v/>
      </c>
    </row>
    <row r="15">
      <c r="A15" t="n">
        <v>8</v>
      </c>
      <c r="B15" s="1">
        <f>F14</f>
        <v/>
      </c>
      <c r="C15" s="1">
        <f>B15*$B$2</f>
        <v/>
      </c>
      <c r="D15" s="1">
        <f>E15-C15</f>
        <v/>
      </c>
      <c r="E15" s="1">
        <f>$B$4</f>
        <v/>
      </c>
      <c r="F15" s="1">
        <f>B15-D15</f>
        <v/>
      </c>
    </row>
    <row r="16">
      <c r="A16" t="n">
        <v>9</v>
      </c>
      <c r="B16" s="1">
        <f>F15</f>
        <v/>
      </c>
      <c r="C16" s="1">
        <f>B16*$B$2</f>
        <v/>
      </c>
      <c r="D16" s="1">
        <f>E16-C16</f>
        <v/>
      </c>
      <c r="E16" s="1">
        <f>$B$4</f>
        <v/>
      </c>
      <c r="F16" s="1">
        <f>B16-D16</f>
        <v/>
      </c>
    </row>
    <row r="17">
      <c r="A17" t="n">
        <v>10</v>
      </c>
      <c r="B17" s="1">
        <f>F16</f>
        <v/>
      </c>
      <c r="C17" s="1">
        <f>B17*$B$2</f>
        <v/>
      </c>
      <c r="D17" s="1">
        <f>E17-C17</f>
        <v/>
      </c>
      <c r="E17" s="1">
        <f>$B$4</f>
        <v/>
      </c>
      <c r="F17" s="1">
        <f>B17-D17</f>
        <v/>
      </c>
    </row>
    <row r="18">
      <c r="A18" t="n">
        <v>11</v>
      </c>
      <c r="B18" s="1">
        <f>F17</f>
        <v/>
      </c>
      <c r="C18" s="1">
        <f>B18*$B$2</f>
        <v/>
      </c>
      <c r="D18" s="1">
        <f>E18-C18</f>
        <v/>
      </c>
      <c r="E18" s="1">
        <f>$B$4</f>
        <v/>
      </c>
      <c r="F18" s="1">
        <f>B18-D18</f>
        <v/>
      </c>
    </row>
    <row r="19">
      <c r="A19" t="n">
        <v>12</v>
      </c>
      <c r="B19" s="1">
        <f>F18</f>
        <v/>
      </c>
      <c r="C19" s="1">
        <f>B19*$B$2</f>
        <v/>
      </c>
      <c r="D19" s="1">
        <f>E19-C19</f>
        <v/>
      </c>
      <c r="E19" s="1">
        <f>$B$4</f>
        <v/>
      </c>
      <c r="F19" s="1">
        <f>B19-D19</f>
        <v/>
      </c>
    </row>
    <row r="20">
      <c r="A20" t="n">
        <v>13</v>
      </c>
      <c r="B20" s="1">
        <f>F19</f>
        <v/>
      </c>
      <c r="C20" s="1">
        <f>B20*$B$2</f>
        <v/>
      </c>
      <c r="D20" s="1">
        <f>E20-C20</f>
        <v/>
      </c>
      <c r="E20" s="1">
        <f>$B$4</f>
        <v/>
      </c>
      <c r="F20" s="1">
        <f>B20-D20</f>
        <v/>
      </c>
    </row>
    <row r="21">
      <c r="A21" t="n">
        <v>14</v>
      </c>
      <c r="B21" s="1">
        <f>F20</f>
        <v/>
      </c>
      <c r="C21" s="1">
        <f>B21*$B$2</f>
        <v/>
      </c>
      <c r="D21" s="1">
        <f>E21-C21</f>
        <v/>
      </c>
      <c r="E21" s="1">
        <f>$B$4</f>
        <v/>
      </c>
      <c r="F21" s="1">
        <f>B21-D21</f>
        <v/>
      </c>
    </row>
    <row r="22">
      <c r="A22" t="n">
        <v>15</v>
      </c>
      <c r="B22" s="1">
        <f>F21</f>
        <v/>
      </c>
      <c r="C22" s="1">
        <f>B22*$B$2</f>
        <v/>
      </c>
      <c r="D22" s="1">
        <f>E22-C22</f>
        <v/>
      </c>
      <c r="E22" s="1">
        <f>$B$4</f>
        <v/>
      </c>
      <c r="F22" s="1">
        <f>B22-D22</f>
        <v/>
      </c>
    </row>
    <row r="23">
      <c r="A23" t="n">
        <v>16</v>
      </c>
      <c r="B23" s="1">
        <f>F22</f>
        <v/>
      </c>
      <c r="C23" s="1">
        <f>B23*$B$2</f>
        <v/>
      </c>
      <c r="D23" s="1">
        <f>E23-C23</f>
        <v/>
      </c>
      <c r="E23" s="1">
        <f>$B$4</f>
        <v/>
      </c>
      <c r="F23" s="1">
        <f>B23-D23</f>
        <v/>
      </c>
    </row>
    <row r="24">
      <c r="A24" t="n">
        <v>17</v>
      </c>
      <c r="B24" s="1">
        <f>F23</f>
        <v/>
      </c>
      <c r="C24" s="1">
        <f>B24*$B$2</f>
        <v/>
      </c>
      <c r="D24" s="1">
        <f>E24-C24</f>
        <v/>
      </c>
      <c r="E24" s="1">
        <f>$B$4</f>
        <v/>
      </c>
      <c r="F24" s="1">
        <f>B24-D24</f>
        <v/>
      </c>
    </row>
    <row r="25">
      <c r="A25" t="n">
        <v>18</v>
      </c>
      <c r="B25" s="1">
        <f>F24</f>
        <v/>
      </c>
      <c r="C25" s="1">
        <f>B25*$B$2</f>
        <v/>
      </c>
      <c r="D25" s="1">
        <f>E25-C25</f>
        <v/>
      </c>
      <c r="E25" s="1">
        <f>$B$4</f>
        <v/>
      </c>
      <c r="F25" s="1">
        <f>B25-D25</f>
        <v/>
      </c>
    </row>
    <row r="26">
      <c r="A26" t="inlineStr">
        <is>
          <t>Totales</t>
        </is>
      </c>
      <c r="B26" s="1" t="n"/>
      <c r="C26" s="1">
        <f>SUM(C8:C25)</f>
        <v/>
      </c>
      <c r="D26" s="1">
        <f>SUM(D8:D25)</f>
        <v/>
      </c>
      <c r="E26" s="1">
        <f>SUM(E8:E25)</f>
        <v/>
      </c>
      <c r="F26" s="1" t="n"/>
    </row>
    <row r="28">
      <c r="A28" s="4" t="inlineStr">
        <is>
          <t>Saldo de capital al cierre</t>
        </is>
      </c>
      <c r="B28" s="1">
        <f>F9</f>
        <v/>
      </c>
      <c r="C28" s="1" t="n"/>
      <c r="D28" s="1" t="n"/>
      <c r="E28" s="1" t="n"/>
      <c r="F28" s="1" t="n"/>
    </row>
    <row r="29">
      <c r="A29" s="4" t="inlineStr">
        <is>
          <t>Interés devengado al cierre (de la cuota siguiente)</t>
        </is>
      </c>
      <c r="B29" s="1">
        <f>C10</f>
        <v/>
      </c>
      <c r="C29" s="1" t="n"/>
      <c r="D29" s="1" t="n"/>
      <c r="E29" s="1" t="n"/>
      <c r="F29" s="1" t="n"/>
    </row>
    <row r="30">
      <c r="A30" s="3" t="inlineStr">
        <is>
          <t>Porción corriente (capital de las 12 cuotas siguientes)</t>
        </is>
      </c>
      <c r="B30" s="1">
        <f>SUM(D10:D21)</f>
        <v/>
      </c>
      <c r="C30" s="1" t="n"/>
      <c r="D30" s="1" t="n"/>
      <c r="E30" s="1" t="n"/>
      <c r="F30" s="1" t="n"/>
    </row>
    <row r="31">
      <c r="A31" s="3" t="inlineStr">
        <is>
          <t>Porción no corriente</t>
        </is>
      </c>
      <c r="B31" s="1">
        <f>F21</f>
        <v/>
      </c>
      <c r="C31" s="1" t="n"/>
      <c r="D31" s="1" t="n"/>
      <c r="E31" s="1" t="n"/>
      <c r="F31" s="1" t="n"/>
    </row>
    <row r="32">
      <c r="A32" s="4" t="inlineStr">
        <is>
          <t>Comprobación: corriente + no corriente − saldo (debe dar 0)</t>
        </is>
      </c>
      <c r="B32" s="1">
        <f>B30+B31-B28</f>
        <v/>
      </c>
      <c r="C32" s="1" t="n"/>
      <c r="D32" s="1" t="n"/>
      <c r="E32" s="1" t="n"/>
      <c r="F3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2026-10-16T10:52:31Z</dcterms:created>
  <dcterms:modified xmlns:dcterms="http://purl.org/dc/terms/" xmlns:xsi="http://www.w3.org/2001/XMLSchema-instance" xsi:type="dcterms:W3CDTF">2026-10-16T10:52:31Z</dcterms:modified>
</cp:coreProperties>
</file>